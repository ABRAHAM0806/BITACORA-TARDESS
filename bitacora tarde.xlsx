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PREFECTURA\Desktop\"/>
    </mc:Choice>
  </mc:AlternateContent>
  <xr:revisionPtr revIDLastSave="0" documentId="13_ncr:1_{79CECEF3-35C2-48BD-8B00-06046E48611B}" xr6:coauthVersionLast="47" xr6:coauthVersionMax="47" xr10:uidLastSave="{00000000-0000-0000-0000-000000000000}"/>
  <bookViews>
    <workbookView xWindow="-120" yWindow="-120" windowWidth="19440" windowHeight="15000" tabRatio="596" activeTab="1" xr2:uid="{00000000-000D-0000-FFFF-FFFF00000000}"/>
  </bookViews>
  <sheets>
    <sheet name="bitacora nocturno" sheetId="2" r:id="rId1"/>
    <sheet name="concentrado nocturno" sheetId="3" r:id="rId2"/>
    <sheet name="FECHAS" sheetId="4" r:id="rId3"/>
    <sheet name="bitacora SABADO" sheetId="5" r:id="rId4"/>
    <sheet name="Hoja5" sheetId="6" r:id="rId5"/>
  </sheets>
  <definedNames>
    <definedName name="_xlnm._FilterDatabase" localSheetId="0" hidden="1">'bitacora nocturno'!$C$1:$C$397</definedName>
    <definedName name="_xlnm._FilterDatabase" localSheetId="1" hidden="1">'concentrado nocturno'!$A$5:$NB$77</definedName>
    <definedName name="_xlnm.Print_Area" localSheetId="0">'bitacora nocturno'!$A$1:$N$402</definedName>
  </definedNames>
  <calcPr calcId="191029"/>
</workbook>
</file>

<file path=xl/calcChain.xml><?xml version="1.0" encoding="utf-8"?>
<calcChain xmlns="http://schemas.openxmlformats.org/spreadsheetml/2006/main">
  <c r="B86" i="2" l="1"/>
  <c r="C86" i="2"/>
  <c r="D86" i="2"/>
  <c r="E86" i="2"/>
  <c r="F86" i="2"/>
  <c r="G86" i="2"/>
  <c r="H86" i="2"/>
  <c r="I86" i="2"/>
  <c r="J86" i="2"/>
  <c r="B9" i="2"/>
  <c r="C9" i="2"/>
  <c r="D9" i="2"/>
  <c r="E9" i="2"/>
  <c r="F9" i="2"/>
  <c r="G9" i="2"/>
  <c r="H9" i="2"/>
  <c r="I9" i="2"/>
  <c r="B8" i="2"/>
  <c r="C8" i="2"/>
  <c r="D8" i="2"/>
  <c r="E8" i="2"/>
  <c r="F8" i="2"/>
  <c r="G8" i="2"/>
  <c r="H8" i="2"/>
  <c r="I8" i="2"/>
  <c r="B7" i="2"/>
  <c r="C7" i="2"/>
  <c r="D7" i="2"/>
  <c r="E7" i="2"/>
  <c r="F7" i="2"/>
  <c r="G7" i="2"/>
  <c r="H7" i="2"/>
  <c r="I7" i="2"/>
  <c r="B6" i="2"/>
  <c r="C6" i="2"/>
  <c r="D6" i="2"/>
  <c r="E6" i="2"/>
  <c r="F6" i="2"/>
  <c r="G6" i="2"/>
  <c r="H6" i="2"/>
  <c r="I6" i="2"/>
  <c r="B5" i="2"/>
  <c r="C5" i="2"/>
  <c r="D5" i="2"/>
  <c r="E5" i="2"/>
  <c r="F5" i="2"/>
  <c r="G5" i="2"/>
  <c r="H5" i="2"/>
  <c r="I5" i="2"/>
  <c r="C145" i="2"/>
  <c r="C146" i="2"/>
  <c r="B145" i="2"/>
  <c r="B146" i="2"/>
  <c r="C66" i="2"/>
  <c r="B66" i="2"/>
  <c r="C71" i="2"/>
  <c r="B71" i="2"/>
  <c r="C151" i="2"/>
  <c r="B151" i="2"/>
  <c r="B147" i="2"/>
  <c r="B148" i="2"/>
  <c r="B149" i="2"/>
  <c r="B150" i="2"/>
  <c r="E375" i="2" l="1"/>
  <c r="F375" i="2"/>
  <c r="G375" i="2"/>
  <c r="H375" i="2"/>
  <c r="I375" i="2"/>
  <c r="J375" i="2"/>
  <c r="E293" i="2"/>
  <c r="F293" i="2"/>
  <c r="G293" i="2"/>
  <c r="H293" i="2"/>
  <c r="I293" i="2"/>
  <c r="J293" i="2"/>
  <c r="E213" i="2"/>
  <c r="F213" i="2"/>
  <c r="G213" i="2"/>
  <c r="H213" i="2"/>
  <c r="I213" i="2"/>
  <c r="J213" i="2"/>
  <c r="E133" i="2"/>
  <c r="F133" i="2"/>
  <c r="G133" i="2"/>
  <c r="H133" i="2"/>
  <c r="I133" i="2"/>
  <c r="J133" i="2"/>
  <c r="E134" i="2"/>
  <c r="F134" i="2"/>
  <c r="G134" i="2"/>
  <c r="H134" i="2"/>
  <c r="I134" i="2"/>
  <c r="J134" i="2"/>
  <c r="E135" i="2"/>
  <c r="F135" i="2"/>
  <c r="G135" i="2"/>
  <c r="H135" i="2"/>
  <c r="I135" i="2"/>
  <c r="J135" i="2"/>
  <c r="J53" i="2"/>
  <c r="I53" i="2"/>
  <c r="H53" i="2"/>
  <c r="G53" i="2"/>
  <c r="F53" i="2"/>
  <c r="E53" i="2"/>
  <c r="D53" i="2"/>
  <c r="D133" i="2" s="1"/>
  <c r="D213" i="2" s="1"/>
  <c r="D293" i="2" s="1"/>
  <c r="D375" i="2" s="1"/>
  <c r="C53" i="2"/>
  <c r="C133" i="2" s="1"/>
  <c r="C213" i="2" s="1"/>
  <c r="C293" i="2" s="1"/>
  <c r="C375" i="2" s="1"/>
  <c r="B53" i="2"/>
  <c r="B133" i="2" s="1"/>
  <c r="B213" i="2" s="1"/>
  <c r="B293" i="2" s="1"/>
  <c r="B375" i="2" s="1"/>
  <c r="E52" i="2"/>
  <c r="D52" i="2"/>
  <c r="C52" i="2"/>
  <c r="B52" i="2"/>
  <c r="J393" i="2"/>
  <c r="I393" i="2"/>
  <c r="H393" i="2"/>
  <c r="J313" i="2"/>
  <c r="J308" i="2"/>
  <c r="I308" i="2"/>
  <c r="H308" i="2"/>
  <c r="G308" i="2"/>
  <c r="F308" i="2"/>
  <c r="E308" i="2"/>
  <c r="J250" i="2"/>
  <c r="I250" i="2"/>
  <c r="H250" i="2"/>
  <c r="J231" i="2"/>
  <c r="I231" i="2"/>
  <c r="H231" i="2"/>
  <c r="J226" i="2"/>
  <c r="I226" i="2"/>
  <c r="H226" i="2"/>
  <c r="G226" i="2"/>
  <c r="F226" i="2"/>
  <c r="E226" i="2"/>
  <c r="J151" i="2"/>
  <c r="I151" i="2"/>
  <c r="H151" i="2"/>
  <c r="J146" i="2"/>
  <c r="I146" i="2"/>
  <c r="H146" i="2"/>
  <c r="G146" i="2"/>
  <c r="F146" i="2"/>
  <c r="E146" i="2"/>
  <c r="J71" i="2"/>
  <c r="I71" i="2"/>
  <c r="H71" i="2"/>
  <c r="J66" i="2"/>
  <c r="I66" i="2"/>
  <c r="H66" i="2"/>
  <c r="G66" i="2"/>
  <c r="F66" i="2"/>
  <c r="E66" i="2"/>
  <c r="D66" i="2"/>
  <c r="G388" i="2"/>
  <c r="F388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J8" i="4"/>
  <c r="A34" i="2" l="1"/>
  <c r="B34" i="2"/>
  <c r="C34" i="2"/>
  <c r="D34" i="2"/>
  <c r="E34" i="2"/>
  <c r="F34" i="2"/>
  <c r="G34" i="2"/>
  <c r="H34" i="2"/>
  <c r="I34" i="2"/>
  <c r="J34" i="2"/>
  <c r="AI30" i="3"/>
  <c r="AI33" i="3"/>
  <c r="AI37" i="3" l="1"/>
  <c r="B367" i="2"/>
  <c r="C367" i="2"/>
  <c r="A367" i="2"/>
  <c r="E367" i="2"/>
  <c r="F367" i="2"/>
  <c r="G367" i="2"/>
  <c r="H367" i="2"/>
  <c r="I367" i="2"/>
  <c r="J367" i="2"/>
  <c r="B205" i="2"/>
  <c r="C205" i="2"/>
  <c r="A205" i="2"/>
  <c r="E205" i="2"/>
  <c r="F205" i="2"/>
  <c r="G205" i="2"/>
  <c r="H205" i="2"/>
  <c r="I205" i="2"/>
  <c r="J205" i="2"/>
  <c r="E231" i="2" l="1"/>
  <c r="F231" i="2"/>
  <c r="G231" i="2"/>
  <c r="F393" i="2"/>
  <c r="G393" i="2"/>
  <c r="E385" i="2"/>
  <c r="F385" i="2"/>
  <c r="G385" i="2"/>
  <c r="H385" i="2"/>
  <c r="I385" i="2"/>
  <c r="J385" i="2"/>
  <c r="E313" i="2"/>
  <c r="F313" i="2"/>
  <c r="G313" i="2"/>
  <c r="H313" i="2"/>
  <c r="I313" i="2"/>
  <c r="E305" i="2"/>
  <c r="F305" i="2"/>
  <c r="G305" i="2"/>
  <c r="H305" i="2"/>
  <c r="I305" i="2"/>
  <c r="E223" i="2"/>
  <c r="F223" i="2"/>
  <c r="G223" i="2"/>
  <c r="H223" i="2"/>
  <c r="I223" i="2"/>
  <c r="E71" i="2"/>
  <c r="F71" i="2"/>
  <c r="G71" i="2"/>
  <c r="E63" i="2"/>
  <c r="F63" i="2"/>
  <c r="G63" i="2"/>
  <c r="H63" i="2"/>
  <c r="I63" i="2"/>
  <c r="J63" i="2"/>
  <c r="C63" i="2"/>
  <c r="B63" i="2"/>
  <c r="E374" i="2"/>
  <c r="F374" i="2"/>
  <c r="G374" i="2"/>
  <c r="H374" i="2"/>
  <c r="I374" i="2"/>
  <c r="J374" i="2"/>
  <c r="E292" i="2"/>
  <c r="F292" i="2"/>
  <c r="G292" i="2"/>
  <c r="H292" i="2"/>
  <c r="I292" i="2"/>
  <c r="J292" i="2"/>
  <c r="E212" i="2"/>
  <c r="F212" i="2"/>
  <c r="G212" i="2"/>
  <c r="H212" i="2"/>
  <c r="I212" i="2"/>
  <c r="J212" i="2"/>
  <c r="E132" i="2"/>
  <c r="F132" i="2"/>
  <c r="G132" i="2"/>
  <c r="H132" i="2"/>
  <c r="I132" i="2"/>
  <c r="J132" i="2"/>
  <c r="B132" i="2"/>
  <c r="B212" i="2" s="1"/>
  <c r="B292" i="2" s="1"/>
  <c r="B374" i="2" s="1"/>
  <c r="C132" i="2"/>
  <c r="D132" i="2"/>
  <c r="D212" i="2" s="1"/>
  <c r="D292" i="2" s="1"/>
  <c r="D374" i="2" s="1"/>
  <c r="F52" i="2"/>
  <c r="G52" i="2"/>
  <c r="H52" i="2"/>
  <c r="I52" i="2"/>
  <c r="J52" i="2"/>
  <c r="A52" i="2"/>
  <c r="A132" i="2" s="1"/>
  <c r="A212" i="2" s="1"/>
  <c r="A292" i="2" s="1"/>
  <c r="A374" i="2" s="1"/>
  <c r="AI47" i="3"/>
  <c r="AI48" i="3"/>
  <c r="AI49" i="3"/>
  <c r="G3" i="5"/>
  <c r="C3" i="5"/>
  <c r="A319" i="3"/>
  <c r="AI70" i="3"/>
  <c r="AI69" i="3"/>
  <c r="AI68" i="3"/>
  <c r="AI67" i="3"/>
  <c r="AI66" i="3"/>
  <c r="AI65" i="3"/>
  <c r="AI64" i="3"/>
  <c r="AI63" i="3"/>
  <c r="AI62" i="3"/>
  <c r="AI61" i="3"/>
  <c r="AI60" i="3"/>
  <c r="AI59" i="3"/>
  <c r="AI58" i="3"/>
  <c r="AI57" i="3"/>
  <c r="AI56" i="3"/>
  <c r="AI55" i="3"/>
  <c r="AI54" i="3"/>
  <c r="AI53" i="3"/>
  <c r="AI52" i="3"/>
  <c r="AI51" i="3"/>
  <c r="AI50" i="3"/>
  <c r="AI46" i="3"/>
  <c r="AI45" i="3"/>
  <c r="AI44" i="3"/>
  <c r="AI43" i="3"/>
  <c r="AI41" i="3"/>
  <c r="AI40" i="3"/>
  <c r="AI39" i="3"/>
  <c r="AI38" i="3"/>
  <c r="AI36" i="3"/>
  <c r="XDT36" i="3" s="1"/>
  <c r="AI35" i="3"/>
  <c r="AI34" i="3"/>
  <c r="AI32" i="3"/>
  <c r="AI31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  <c r="AI6" i="3"/>
  <c r="J402" i="2"/>
  <c r="I402" i="2"/>
  <c r="H402" i="2"/>
  <c r="G402" i="2"/>
  <c r="F402" i="2"/>
  <c r="D402" i="2"/>
  <c r="C402" i="2"/>
  <c r="B402" i="2"/>
  <c r="J401" i="2"/>
  <c r="I401" i="2"/>
  <c r="H401" i="2"/>
  <c r="G401" i="2"/>
  <c r="F401" i="2"/>
  <c r="J400" i="2"/>
  <c r="I400" i="2"/>
  <c r="H400" i="2"/>
  <c r="G400" i="2"/>
  <c r="F400" i="2"/>
  <c r="J399" i="2"/>
  <c r="I399" i="2"/>
  <c r="H399" i="2"/>
  <c r="G399" i="2"/>
  <c r="F399" i="2"/>
  <c r="J398" i="2"/>
  <c r="I398" i="2"/>
  <c r="H398" i="2"/>
  <c r="G398" i="2"/>
  <c r="F398" i="2"/>
  <c r="J397" i="2"/>
  <c r="I397" i="2"/>
  <c r="H397" i="2"/>
  <c r="G397" i="2"/>
  <c r="F397" i="2"/>
  <c r="J396" i="2"/>
  <c r="I396" i="2"/>
  <c r="H396" i="2"/>
  <c r="G396" i="2"/>
  <c r="F396" i="2"/>
  <c r="J395" i="2"/>
  <c r="I395" i="2"/>
  <c r="H395" i="2"/>
  <c r="G395" i="2"/>
  <c r="F395" i="2"/>
  <c r="J394" i="2"/>
  <c r="I394" i="2"/>
  <c r="H394" i="2"/>
  <c r="G394" i="2"/>
  <c r="F394" i="2"/>
  <c r="J392" i="2"/>
  <c r="I392" i="2"/>
  <c r="H392" i="2"/>
  <c r="G392" i="2"/>
  <c r="F392" i="2"/>
  <c r="J391" i="2"/>
  <c r="I391" i="2"/>
  <c r="H391" i="2"/>
  <c r="G391" i="2"/>
  <c r="F391" i="2"/>
  <c r="J390" i="2"/>
  <c r="I390" i="2"/>
  <c r="H390" i="2"/>
  <c r="G390" i="2"/>
  <c r="F390" i="2"/>
  <c r="J389" i="2"/>
  <c r="I389" i="2"/>
  <c r="H389" i="2"/>
  <c r="G389" i="2"/>
  <c r="F389" i="2"/>
  <c r="J388" i="2"/>
  <c r="I388" i="2"/>
  <c r="H388" i="2"/>
  <c r="J387" i="2"/>
  <c r="I387" i="2"/>
  <c r="H387" i="2"/>
  <c r="G387" i="2"/>
  <c r="F387" i="2"/>
  <c r="E387" i="2"/>
  <c r="J386" i="2"/>
  <c r="I386" i="2"/>
  <c r="H386" i="2"/>
  <c r="G386" i="2"/>
  <c r="F386" i="2"/>
  <c r="E386" i="2"/>
  <c r="J384" i="2"/>
  <c r="I384" i="2"/>
  <c r="H384" i="2"/>
  <c r="G384" i="2"/>
  <c r="F384" i="2"/>
  <c r="E384" i="2"/>
  <c r="J383" i="2"/>
  <c r="I383" i="2"/>
  <c r="H383" i="2"/>
  <c r="G383" i="2"/>
  <c r="F383" i="2"/>
  <c r="E383" i="2"/>
  <c r="J377" i="2"/>
  <c r="I377" i="2"/>
  <c r="H377" i="2"/>
  <c r="G377" i="2"/>
  <c r="F377" i="2"/>
  <c r="E377" i="2"/>
  <c r="J376" i="2"/>
  <c r="I376" i="2"/>
  <c r="H376" i="2"/>
  <c r="G376" i="2"/>
  <c r="F376" i="2"/>
  <c r="E376" i="2"/>
  <c r="J373" i="2"/>
  <c r="I373" i="2"/>
  <c r="H373" i="2"/>
  <c r="G373" i="2"/>
  <c r="F373" i="2"/>
  <c r="E373" i="2"/>
  <c r="J372" i="2"/>
  <c r="I372" i="2"/>
  <c r="H372" i="2"/>
  <c r="G372" i="2"/>
  <c r="F372" i="2"/>
  <c r="E372" i="2"/>
  <c r="J371" i="2"/>
  <c r="I371" i="2"/>
  <c r="H371" i="2"/>
  <c r="G371" i="2"/>
  <c r="F371" i="2"/>
  <c r="E371" i="2"/>
  <c r="J370" i="2"/>
  <c r="I370" i="2"/>
  <c r="H370" i="2"/>
  <c r="G370" i="2"/>
  <c r="F370" i="2"/>
  <c r="E370" i="2"/>
  <c r="J369" i="2"/>
  <c r="I369" i="2"/>
  <c r="H369" i="2"/>
  <c r="G369" i="2"/>
  <c r="F369" i="2"/>
  <c r="E369" i="2"/>
  <c r="J368" i="2"/>
  <c r="I368" i="2"/>
  <c r="H368" i="2"/>
  <c r="G368" i="2"/>
  <c r="F368" i="2"/>
  <c r="E368" i="2"/>
  <c r="J366" i="2"/>
  <c r="I366" i="2"/>
  <c r="H366" i="2"/>
  <c r="G366" i="2"/>
  <c r="F366" i="2"/>
  <c r="E366" i="2"/>
  <c r="J365" i="2"/>
  <c r="I365" i="2"/>
  <c r="H365" i="2"/>
  <c r="G365" i="2"/>
  <c r="F365" i="2"/>
  <c r="E365" i="2"/>
  <c r="J364" i="2"/>
  <c r="I364" i="2"/>
  <c r="H364" i="2"/>
  <c r="G364" i="2"/>
  <c r="F364" i="2"/>
  <c r="E364" i="2"/>
  <c r="J363" i="2"/>
  <c r="I363" i="2"/>
  <c r="H363" i="2"/>
  <c r="G363" i="2"/>
  <c r="F363" i="2"/>
  <c r="E363" i="2"/>
  <c r="J362" i="2"/>
  <c r="I362" i="2"/>
  <c r="H362" i="2"/>
  <c r="G362" i="2"/>
  <c r="F362" i="2"/>
  <c r="E362" i="2"/>
  <c r="J361" i="2"/>
  <c r="I361" i="2"/>
  <c r="H361" i="2"/>
  <c r="G361" i="2"/>
  <c r="F361" i="2"/>
  <c r="E361" i="2"/>
  <c r="J360" i="2"/>
  <c r="I360" i="2"/>
  <c r="H360" i="2"/>
  <c r="G360" i="2"/>
  <c r="F360" i="2"/>
  <c r="E360" i="2"/>
  <c r="J359" i="2"/>
  <c r="I359" i="2"/>
  <c r="H359" i="2"/>
  <c r="G359" i="2"/>
  <c r="F359" i="2"/>
  <c r="E359" i="2"/>
  <c r="J358" i="2"/>
  <c r="I358" i="2"/>
  <c r="H358" i="2"/>
  <c r="G358" i="2"/>
  <c r="F358" i="2"/>
  <c r="E358" i="2"/>
  <c r="J357" i="2"/>
  <c r="I357" i="2"/>
  <c r="H357" i="2"/>
  <c r="G357" i="2"/>
  <c r="F357" i="2"/>
  <c r="E357" i="2"/>
  <c r="J356" i="2"/>
  <c r="I356" i="2"/>
  <c r="H356" i="2"/>
  <c r="G356" i="2"/>
  <c r="F356" i="2"/>
  <c r="E356" i="2"/>
  <c r="J355" i="2"/>
  <c r="I355" i="2"/>
  <c r="H355" i="2"/>
  <c r="G355" i="2"/>
  <c r="F355" i="2"/>
  <c r="E355" i="2"/>
  <c r="J354" i="2"/>
  <c r="I354" i="2"/>
  <c r="H354" i="2"/>
  <c r="G354" i="2"/>
  <c r="F354" i="2"/>
  <c r="E354" i="2"/>
  <c r="J348" i="2"/>
  <c r="I348" i="2"/>
  <c r="H348" i="2"/>
  <c r="G348" i="2"/>
  <c r="F348" i="2"/>
  <c r="E348" i="2"/>
  <c r="J347" i="2"/>
  <c r="I347" i="2"/>
  <c r="H347" i="2"/>
  <c r="G347" i="2"/>
  <c r="F347" i="2"/>
  <c r="E347" i="2"/>
  <c r="J346" i="2"/>
  <c r="I346" i="2"/>
  <c r="H346" i="2"/>
  <c r="G346" i="2"/>
  <c r="F346" i="2"/>
  <c r="E346" i="2"/>
  <c r="J345" i="2"/>
  <c r="I345" i="2"/>
  <c r="H345" i="2"/>
  <c r="G345" i="2"/>
  <c r="F345" i="2"/>
  <c r="E345" i="2"/>
  <c r="J344" i="2"/>
  <c r="I344" i="2"/>
  <c r="H344" i="2"/>
  <c r="G344" i="2"/>
  <c r="F344" i="2"/>
  <c r="E344" i="2"/>
  <c r="J343" i="2"/>
  <c r="I343" i="2"/>
  <c r="H343" i="2"/>
  <c r="G343" i="2"/>
  <c r="F343" i="2"/>
  <c r="E343" i="2"/>
  <c r="J342" i="2"/>
  <c r="I342" i="2"/>
  <c r="H342" i="2"/>
  <c r="G342" i="2"/>
  <c r="F342" i="2"/>
  <c r="E342" i="2"/>
  <c r="J341" i="2"/>
  <c r="I341" i="2"/>
  <c r="H341" i="2"/>
  <c r="G341" i="2"/>
  <c r="F341" i="2"/>
  <c r="E341" i="2"/>
  <c r="J340" i="2"/>
  <c r="I340" i="2"/>
  <c r="H340" i="2"/>
  <c r="G340" i="2"/>
  <c r="F340" i="2"/>
  <c r="E340" i="2"/>
  <c r="J339" i="2"/>
  <c r="I339" i="2"/>
  <c r="H339" i="2"/>
  <c r="G339" i="2"/>
  <c r="F339" i="2"/>
  <c r="E339" i="2"/>
  <c r="J338" i="2"/>
  <c r="I338" i="2"/>
  <c r="H338" i="2"/>
  <c r="G338" i="2"/>
  <c r="F338" i="2"/>
  <c r="E338" i="2"/>
  <c r="J337" i="2"/>
  <c r="I337" i="2"/>
  <c r="H337" i="2"/>
  <c r="G337" i="2"/>
  <c r="F337" i="2"/>
  <c r="E337" i="2"/>
  <c r="J336" i="2"/>
  <c r="I336" i="2"/>
  <c r="H336" i="2"/>
  <c r="G336" i="2"/>
  <c r="F336" i="2"/>
  <c r="E336" i="2"/>
  <c r="J335" i="2"/>
  <c r="I335" i="2"/>
  <c r="H335" i="2"/>
  <c r="G335" i="2"/>
  <c r="F335" i="2"/>
  <c r="E335" i="2"/>
  <c r="J334" i="2"/>
  <c r="I334" i="2"/>
  <c r="H334" i="2"/>
  <c r="G334" i="2"/>
  <c r="F334" i="2"/>
  <c r="E334" i="2"/>
  <c r="J333" i="2"/>
  <c r="I333" i="2"/>
  <c r="H333" i="2"/>
  <c r="G333" i="2"/>
  <c r="F333" i="2"/>
  <c r="E333" i="2"/>
  <c r="J332" i="2"/>
  <c r="I332" i="2"/>
  <c r="H332" i="2"/>
  <c r="G332" i="2"/>
  <c r="F332" i="2"/>
  <c r="E332" i="2"/>
  <c r="J331" i="2"/>
  <c r="I331" i="2"/>
  <c r="H331" i="2"/>
  <c r="G331" i="2"/>
  <c r="F331" i="2"/>
  <c r="E331" i="2"/>
  <c r="J330" i="2"/>
  <c r="I330" i="2"/>
  <c r="H330" i="2"/>
  <c r="G330" i="2"/>
  <c r="F330" i="2"/>
  <c r="E330" i="2"/>
  <c r="J329" i="2"/>
  <c r="I329" i="2"/>
  <c r="H329" i="2"/>
  <c r="G329" i="2"/>
  <c r="F329" i="2"/>
  <c r="E329" i="2"/>
  <c r="J328" i="2"/>
  <c r="I328" i="2"/>
  <c r="H328" i="2"/>
  <c r="G328" i="2"/>
  <c r="F328" i="2"/>
  <c r="E328" i="2"/>
  <c r="J327" i="2"/>
  <c r="I327" i="2"/>
  <c r="H327" i="2"/>
  <c r="G327" i="2"/>
  <c r="F327" i="2"/>
  <c r="E327" i="2"/>
  <c r="D325" i="2"/>
  <c r="D352" i="2" s="1"/>
  <c r="D381" i="2" s="1"/>
  <c r="J321" i="2"/>
  <c r="I321" i="2"/>
  <c r="H321" i="2"/>
  <c r="G321" i="2"/>
  <c r="F321" i="2"/>
  <c r="E321" i="2"/>
  <c r="J320" i="2"/>
  <c r="I320" i="2"/>
  <c r="H320" i="2"/>
  <c r="G320" i="2"/>
  <c r="F320" i="2"/>
  <c r="E320" i="2"/>
  <c r="J319" i="2"/>
  <c r="I319" i="2"/>
  <c r="H319" i="2"/>
  <c r="G319" i="2"/>
  <c r="F319" i="2"/>
  <c r="E319" i="2"/>
  <c r="J318" i="2"/>
  <c r="I318" i="2"/>
  <c r="H318" i="2"/>
  <c r="G318" i="2"/>
  <c r="F318" i="2"/>
  <c r="E318" i="2"/>
  <c r="J317" i="2"/>
  <c r="I317" i="2"/>
  <c r="H317" i="2"/>
  <c r="G317" i="2"/>
  <c r="F317" i="2"/>
  <c r="E317" i="2"/>
  <c r="J316" i="2"/>
  <c r="I316" i="2"/>
  <c r="H316" i="2"/>
  <c r="G316" i="2"/>
  <c r="F316" i="2"/>
  <c r="E316" i="2"/>
  <c r="J315" i="2"/>
  <c r="I315" i="2"/>
  <c r="H315" i="2"/>
  <c r="G315" i="2"/>
  <c r="F315" i="2"/>
  <c r="E315" i="2"/>
  <c r="J314" i="2"/>
  <c r="I314" i="2"/>
  <c r="H314" i="2"/>
  <c r="G314" i="2"/>
  <c r="F314" i="2"/>
  <c r="E314" i="2"/>
  <c r="J312" i="2"/>
  <c r="I312" i="2"/>
  <c r="H312" i="2"/>
  <c r="G312" i="2"/>
  <c r="F312" i="2"/>
  <c r="E312" i="2"/>
  <c r="J311" i="2"/>
  <c r="I311" i="2"/>
  <c r="H311" i="2"/>
  <c r="G311" i="2"/>
  <c r="F311" i="2"/>
  <c r="E311" i="2"/>
  <c r="J310" i="2"/>
  <c r="I310" i="2"/>
  <c r="H310" i="2"/>
  <c r="G310" i="2"/>
  <c r="F310" i="2"/>
  <c r="E310" i="2"/>
  <c r="J309" i="2"/>
  <c r="I309" i="2"/>
  <c r="H309" i="2"/>
  <c r="G309" i="2"/>
  <c r="F309" i="2"/>
  <c r="E309" i="2"/>
  <c r="J307" i="2"/>
  <c r="I307" i="2"/>
  <c r="H307" i="2"/>
  <c r="G307" i="2"/>
  <c r="F307" i="2"/>
  <c r="E307" i="2"/>
  <c r="J306" i="2"/>
  <c r="I306" i="2"/>
  <c r="H306" i="2"/>
  <c r="G306" i="2"/>
  <c r="F306" i="2"/>
  <c r="E306" i="2"/>
  <c r="J305" i="2"/>
  <c r="J304" i="2"/>
  <c r="I304" i="2"/>
  <c r="H304" i="2"/>
  <c r="G304" i="2"/>
  <c r="F304" i="2"/>
  <c r="E304" i="2"/>
  <c r="J303" i="2"/>
  <c r="I303" i="2"/>
  <c r="H303" i="2"/>
  <c r="G303" i="2"/>
  <c r="F303" i="2"/>
  <c r="E303" i="2"/>
  <c r="D297" i="2"/>
  <c r="C297" i="2"/>
  <c r="B297" i="2"/>
  <c r="A297" i="2"/>
  <c r="J296" i="2"/>
  <c r="I296" i="2"/>
  <c r="H296" i="2"/>
  <c r="G296" i="2"/>
  <c r="F296" i="2"/>
  <c r="E296" i="2"/>
  <c r="D296" i="2"/>
  <c r="C296" i="2"/>
  <c r="B296" i="2"/>
  <c r="A296" i="2"/>
  <c r="J295" i="2"/>
  <c r="I295" i="2"/>
  <c r="H295" i="2"/>
  <c r="G295" i="2"/>
  <c r="F295" i="2"/>
  <c r="E295" i="2"/>
  <c r="J294" i="2"/>
  <c r="I294" i="2"/>
  <c r="H294" i="2"/>
  <c r="G294" i="2"/>
  <c r="F294" i="2"/>
  <c r="E294" i="2"/>
  <c r="J291" i="2"/>
  <c r="I291" i="2"/>
  <c r="H291" i="2"/>
  <c r="G291" i="2"/>
  <c r="F291" i="2"/>
  <c r="E291" i="2"/>
  <c r="J290" i="2"/>
  <c r="I290" i="2"/>
  <c r="H290" i="2"/>
  <c r="G290" i="2"/>
  <c r="F290" i="2"/>
  <c r="E290" i="2"/>
  <c r="J289" i="2"/>
  <c r="I289" i="2"/>
  <c r="H289" i="2"/>
  <c r="G289" i="2"/>
  <c r="F289" i="2"/>
  <c r="E289" i="2"/>
  <c r="J288" i="2"/>
  <c r="I288" i="2"/>
  <c r="H288" i="2"/>
  <c r="G288" i="2"/>
  <c r="F288" i="2"/>
  <c r="E288" i="2"/>
  <c r="J287" i="2"/>
  <c r="I287" i="2"/>
  <c r="H287" i="2"/>
  <c r="G287" i="2"/>
  <c r="F287" i="2"/>
  <c r="E287" i="2"/>
  <c r="J286" i="2"/>
  <c r="I286" i="2"/>
  <c r="H286" i="2"/>
  <c r="G286" i="2"/>
  <c r="F286" i="2"/>
  <c r="E286" i="2"/>
  <c r="J285" i="2"/>
  <c r="I285" i="2"/>
  <c r="H285" i="2"/>
  <c r="G285" i="2"/>
  <c r="F285" i="2"/>
  <c r="E285" i="2"/>
  <c r="J284" i="2"/>
  <c r="I284" i="2"/>
  <c r="H284" i="2"/>
  <c r="G284" i="2"/>
  <c r="F284" i="2"/>
  <c r="E284" i="2"/>
  <c r="J283" i="2"/>
  <c r="I283" i="2"/>
  <c r="H283" i="2"/>
  <c r="G283" i="2"/>
  <c r="F283" i="2"/>
  <c r="E283" i="2"/>
  <c r="J282" i="2"/>
  <c r="I282" i="2"/>
  <c r="H282" i="2"/>
  <c r="G282" i="2"/>
  <c r="F282" i="2"/>
  <c r="E282" i="2"/>
  <c r="J281" i="2"/>
  <c r="I281" i="2"/>
  <c r="H281" i="2"/>
  <c r="G281" i="2"/>
  <c r="F281" i="2"/>
  <c r="E281" i="2"/>
  <c r="J280" i="2"/>
  <c r="I280" i="2"/>
  <c r="H280" i="2"/>
  <c r="G280" i="2"/>
  <c r="F280" i="2"/>
  <c r="E280" i="2"/>
  <c r="J279" i="2"/>
  <c r="I279" i="2"/>
  <c r="H279" i="2"/>
  <c r="G279" i="2"/>
  <c r="F279" i="2"/>
  <c r="E279" i="2"/>
  <c r="J278" i="2"/>
  <c r="I278" i="2"/>
  <c r="H278" i="2"/>
  <c r="G278" i="2"/>
  <c r="F278" i="2"/>
  <c r="E278" i="2"/>
  <c r="J277" i="2"/>
  <c r="I277" i="2"/>
  <c r="H277" i="2"/>
  <c r="G277" i="2"/>
  <c r="F277" i="2"/>
  <c r="E277" i="2"/>
  <c r="J276" i="2"/>
  <c r="I276" i="2"/>
  <c r="H276" i="2"/>
  <c r="G276" i="2"/>
  <c r="F276" i="2"/>
  <c r="E276" i="2"/>
  <c r="J275" i="2"/>
  <c r="I275" i="2"/>
  <c r="H275" i="2"/>
  <c r="G275" i="2"/>
  <c r="F275" i="2"/>
  <c r="E275" i="2"/>
  <c r="J274" i="2"/>
  <c r="I274" i="2"/>
  <c r="H274" i="2"/>
  <c r="G274" i="2"/>
  <c r="F274" i="2"/>
  <c r="E274" i="2"/>
  <c r="J273" i="2"/>
  <c r="I273" i="2"/>
  <c r="H273" i="2"/>
  <c r="G273" i="2"/>
  <c r="F273" i="2"/>
  <c r="E273" i="2"/>
  <c r="J267" i="2"/>
  <c r="I267" i="2"/>
  <c r="H267" i="2"/>
  <c r="G267" i="2"/>
  <c r="F267" i="2"/>
  <c r="E267" i="2"/>
  <c r="J266" i="2"/>
  <c r="I266" i="2"/>
  <c r="H266" i="2"/>
  <c r="G266" i="2"/>
  <c r="F266" i="2"/>
  <c r="E266" i="2"/>
  <c r="J265" i="2"/>
  <c r="I265" i="2"/>
  <c r="H265" i="2"/>
  <c r="G265" i="2"/>
  <c r="F265" i="2"/>
  <c r="E265" i="2"/>
  <c r="J264" i="2"/>
  <c r="I264" i="2"/>
  <c r="H264" i="2"/>
  <c r="G264" i="2"/>
  <c r="F264" i="2"/>
  <c r="E264" i="2"/>
  <c r="J263" i="2"/>
  <c r="I263" i="2"/>
  <c r="H263" i="2"/>
  <c r="G263" i="2"/>
  <c r="F263" i="2"/>
  <c r="E263" i="2"/>
  <c r="J262" i="2"/>
  <c r="I262" i="2"/>
  <c r="H262" i="2"/>
  <c r="G262" i="2"/>
  <c r="F262" i="2"/>
  <c r="E262" i="2"/>
  <c r="J261" i="2"/>
  <c r="I261" i="2"/>
  <c r="H261" i="2"/>
  <c r="G261" i="2"/>
  <c r="F261" i="2"/>
  <c r="E261" i="2"/>
  <c r="J260" i="2"/>
  <c r="I260" i="2"/>
  <c r="H260" i="2"/>
  <c r="G260" i="2"/>
  <c r="F260" i="2"/>
  <c r="E260" i="2"/>
  <c r="J259" i="2"/>
  <c r="I259" i="2"/>
  <c r="H259" i="2"/>
  <c r="G259" i="2"/>
  <c r="F259" i="2"/>
  <c r="E259" i="2"/>
  <c r="J258" i="2"/>
  <c r="I258" i="2"/>
  <c r="H258" i="2"/>
  <c r="G258" i="2"/>
  <c r="F258" i="2"/>
  <c r="E258" i="2"/>
  <c r="J257" i="2"/>
  <c r="I257" i="2"/>
  <c r="H257" i="2"/>
  <c r="G257" i="2"/>
  <c r="F257" i="2"/>
  <c r="E257" i="2"/>
  <c r="J256" i="2"/>
  <c r="I256" i="2"/>
  <c r="H256" i="2"/>
  <c r="G256" i="2"/>
  <c r="F256" i="2"/>
  <c r="E256" i="2"/>
  <c r="J255" i="2"/>
  <c r="I255" i="2"/>
  <c r="H255" i="2"/>
  <c r="G255" i="2"/>
  <c r="F255" i="2"/>
  <c r="E255" i="2"/>
  <c r="J254" i="2"/>
  <c r="I254" i="2"/>
  <c r="H254" i="2"/>
  <c r="G254" i="2"/>
  <c r="F254" i="2"/>
  <c r="E254" i="2"/>
  <c r="J253" i="2"/>
  <c r="I253" i="2"/>
  <c r="H253" i="2"/>
  <c r="G253" i="2"/>
  <c r="F253" i="2"/>
  <c r="E253" i="2"/>
  <c r="J252" i="2"/>
  <c r="I252" i="2"/>
  <c r="H252" i="2"/>
  <c r="G252" i="2"/>
  <c r="F252" i="2"/>
  <c r="E252" i="2"/>
  <c r="J251" i="2"/>
  <c r="I251" i="2"/>
  <c r="H251" i="2"/>
  <c r="G251" i="2"/>
  <c r="F251" i="2"/>
  <c r="E251" i="2"/>
  <c r="G250" i="2"/>
  <c r="F250" i="2"/>
  <c r="E250" i="2"/>
  <c r="J249" i="2"/>
  <c r="I249" i="2"/>
  <c r="H249" i="2"/>
  <c r="G249" i="2"/>
  <c r="F249" i="2"/>
  <c r="E249" i="2"/>
  <c r="J248" i="2"/>
  <c r="I248" i="2"/>
  <c r="H248" i="2"/>
  <c r="G248" i="2"/>
  <c r="F248" i="2"/>
  <c r="E248" i="2"/>
  <c r="J247" i="2"/>
  <c r="I247" i="2"/>
  <c r="H247" i="2"/>
  <c r="G247" i="2"/>
  <c r="F247" i="2"/>
  <c r="E247" i="2"/>
  <c r="J246" i="2"/>
  <c r="I246" i="2"/>
  <c r="H246" i="2"/>
  <c r="G246" i="2"/>
  <c r="F246" i="2"/>
  <c r="E246" i="2"/>
  <c r="D244" i="2"/>
  <c r="D271" i="2" s="1"/>
  <c r="D301" i="2" s="1"/>
  <c r="J239" i="2"/>
  <c r="I239" i="2"/>
  <c r="H239" i="2"/>
  <c r="G239" i="2"/>
  <c r="F239" i="2"/>
  <c r="E239" i="2"/>
  <c r="J238" i="2"/>
  <c r="I238" i="2"/>
  <c r="H238" i="2"/>
  <c r="G238" i="2"/>
  <c r="F238" i="2"/>
  <c r="E238" i="2"/>
  <c r="J237" i="2"/>
  <c r="I237" i="2"/>
  <c r="H237" i="2"/>
  <c r="G237" i="2"/>
  <c r="F237" i="2"/>
  <c r="E237" i="2"/>
  <c r="J236" i="2"/>
  <c r="I236" i="2"/>
  <c r="H236" i="2"/>
  <c r="G236" i="2"/>
  <c r="F236" i="2"/>
  <c r="E236" i="2"/>
  <c r="J235" i="2"/>
  <c r="I235" i="2"/>
  <c r="H235" i="2"/>
  <c r="G235" i="2"/>
  <c r="F235" i="2"/>
  <c r="E235" i="2"/>
  <c r="J234" i="2"/>
  <c r="I234" i="2"/>
  <c r="H234" i="2"/>
  <c r="G234" i="2"/>
  <c r="F234" i="2"/>
  <c r="E234" i="2"/>
  <c r="J233" i="2"/>
  <c r="I233" i="2"/>
  <c r="H233" i="2"/>
  <c r="G233" i="2"/>
  <c r="F233" i="2"/>
  <c r="E233" i="2"/>
  <c r="J232" i="2"/>
  <c r="I232" i="2"/>
  <c r="H232" i="2"/>
  <c r="G232" i="2"/>
  <c r="F232" i="2"/>
  <c r="E232" i="2"/>
  <c r="J230" i="2"/>
  <c r="I230" i="2"/>
  <c r="H230" i="2"/>
  <c r="G230" i="2"/>
  <c r="F230" i="2"/>
  <c r="E230" i="2"/>
  <c r="J229" i="2"/>
  <c r="I229" i="2"/>
  <c r="H229" i="2"/>
  <c r="G229" i="2"/>
  <c r="F229" i="2"/>
  <c r="E229" i="2"/>
  <c r="J228" i="2"/>
  <c r="I228" i="2"/>
  <c r="H228" i="2"/>
  <c r="G228" i="2"/>
  <c r="F228" i="2"/>
  <c r="E228" i="2"/>
  <c r="J227" i="2"/>
  <c r="I227" i="2"/>
  <c r="H227" i="2"/>
  <c r="G227" i="2"/>
  <c r="F227" i="2"/>
  <c r="E227" i="2"/>
  <c r="J225" i="2"/>
  <c r="I225" i="2"/>
  <c r="H225" i="2"/>
  <c r="G225" i="2"/>
  <c r="F225" i="2"/>
  <c r="E225" i="2"/>
  <c r="J224" i="2"/>
  <c r="I224" i="2"/>
  <c r="H224" i="2"/>
  <c r="G224" i="2"/>
  <c r="F224" i="2"/>
  <c r="E224" i="2"/>
  <c r="J223" i="2"/>
  <c r="J222" i="2"/>
  <c r="I222" i="2"/>
  <c r="H222" i="2"/>
  <c r="G222" i="2"/>
  <c r="F222" i="2"/>
  <c r="E222" i="2"/>
  <c r="J221" i="2"/>
  <c r="I221" i="2"/>
  <c r="H221" i="2"/>
  <c r="G221" i="2"/>
  <c r="F221" i="2"/>
  <c r="E221" i="2"/>
  <c r="J215" i="2"/>
  <c r="I215" i="2"/>
  <c r="H215" i="2"/>
  <c r="G215" i="2"/>
  <c r="F215" i="2"/>
  <c r="E215" i="2"/>
  <c r="J214" i="2"/>
  <c r="I214" i="2"/>
  <c r="H214" i="2"/>
  <c r="G214" i="2"/>
  <c r="F214" i="2"/>
  <c r="E214" i="2"/>
  <c r="J211" i="2"/>
  <c r="I211" i="2"/>
  <c r="H211" i="2"/>
  <c r="G211" i="2"/>
  <c r="F211" i="2"/>
  <c r="E211" i="2"/>
  <c r="J210" i="2"/>
  <c r="I210" i="2"/>
  <c r="H210" i="2"/>
  <c r="G210" i="2"/>
  <c r="F210" i="2"/>
  <c r="E210" i="2"/>
  <c r="J209" i="2"/>
  <c r="I209" i="2"/>
  <c r="H209" i="2"/>
  <c r="G209" i="2"/>
  <c r="F209" i="2"/>
  <c r="E209" i="2"/>
  <c r="J208" i="2"/>
  <c r="I208" i="2"/>
  <c r="H208" i="2"/>
  <c r="G208" i="2"/>
  <c r="F208" i="2"/>
  <c r="E208" i="2"/>
  <c r="J207" i="2"/>
  <c r="I207" i="2"/>
  <c r="H207" i="2"/>
  <c r="G207" i="2"/>
  <c r="F207" i="2"/>
  <c r="E207" i="2"/>
  <c r="J206" i="2"/>
  <c r="I206" i="2"/>
  <c r="H206" i="2"/>
  <c r="G206" i="2"/>
  <c r="F206" i="2"/>
  <c r="E206" i="2"/>
  <c r="J204" i="2"/>
  <c r="I204" i="2"/>
  <c r="H204" i="2"/>
  <c r="G204" i="2"/>
  <c r="F204" i="2"/>
  <c r="E204" i="2"/>
  <c r="J203" i="2"/>
  <c r="I203" i="2"/>
  <c r="H203" i="2"/>
  <c r="G203" i="2"/>
  <c r="F203" i="2"/>
  <c r="E203" i="2"/>
  <c r="J202" i="2"/>
  <c r="I202" i="2"/>
  <c r="H202" i="2"/>
  <c r="G202" i="2"/>
  <c r="F202" i="2"/>
  <c r="E202" i="2"/>
  <c r="J201" i="2"/>
  <c r="I201" i="2"/>
  <c r="H201" i="2"/>
  <c r="G201" i="2"/>
  <c r="F201" i="2"/>
  <c r="E201" i="2"/>
  <c r="J200" i="2"/>
  <c r="I200" i="2"/>
  <c r="H200" i="2"/>
  <c r="G200" i="2"/>
  <c r="F200" i="2"/>
  <c r="E200" i="2"/>
  <c r="J199" i="2"/>
  <c r="I199" i="2"/>
  <c r="H199" i="2"/>
  <c r="G199" i="2"/>
  <c r="F199" i="2"/>
  <c r="E199" i="2"/>
  <c r="J198" i="2"/>
  <c r="I198" i="2"/>
  <c r="H198" i="2"/>
  <c r="G198" i="2"/>
  <c r="F198" i="2"/>
  <c r="E198" i="2"/>
  <c r="J197" i="2"/>
  <c r="I197" i="2"/>
  <c r="H197" i="2"/>
  <c r="G197" i="2"/>
  <c r="F197" i="2"/>
  <c r="E197" i="2"/>
  <c r="J196" i="2"/>
  <c r="I196" i="2"/>
  <c r="H196" i="2"/>
  <c r="G196" i="2"/>
  <c r="F196" i="2"/>
  <c r="E196" i="2"/>
  <c r="J195" i="2"/>
  <c r="I195" i="2"/>
  <c r="H195" i="2"/>
  <c r="G195" i="2"/>
  <c r="F195" i="2"/>
  <c r="E195" i="2"/>
  <c r="J194" i="2"/>
  <c r="I194" i="2"/>
  <c r="H194" i="2"/>
  <c r="G194" i="2"/>
  <c r="F194" i="2"/>
  <c r="E194" i="2"/>
  <c r="J193" i="2"/>
  <c r="I193" i="2"/>
  <c r="H193" i="2"/>
  <c r="G193" i="2"/>
  <c r="F193" i="2"/>
  <c r="E193" i="2"/>
  <c r="J192" i="2"/>
  <c r="I192" i="2"/>
  <c r="H192" i="2"/>
  <c r="G192" i="2"/>
  <c r="F192" i="2"/>
  <c r="E192" i="2"/>
  <c r="D187" i="2"/>
  <c r="C187" i="2"/>
  <c r="B187" i="2"/>
  <c r="A187" i="2"/>
  <c r="J186" i="2"/>
  <c r="I186" i="2"/>
  <c r="H186" i="2"/>
  <c r="G186" i="2"/>
  <c r="F186" i="2"/>
  <c r="E186" i="2"/>
  <c r="J185" i="2"/>
  <c r="I185" i="2"/>
  <c r="H185" i="2"/>
  <c r="G185" i="2"/>
  <c r="F185" i="2"/>
  <c r="E185" i="2"/>
  <c r="J184" i="2"/>
  <c r="I184" i="2"/>
  <c r="H184" i="2"/>
  <c r="G184" i="2"/>
  <c r="F184" i="2"/>
  <c r="E184" i="2"/>
  <c r="J183" i="2"/>
  <c r="I183" i="2"/>
  <c r="H183" i="2"/>
  <c r="G183" i="2"/>
  <c r="F183" i="2"/>
  <c r="E183" i="2"/>
  <c r="J182" i="2"/>
  <c r="I182" i="2"/>
  <c r="H182" i="2"/>
  <c r="G182" i="2"/>
  <c r="F182" i="2"/>
  <c r="E182" i="2"/>
  <c r="J181" i="2"/>
  <c r="I181" i="2"/>
  <c r="H181" i="2"/>
  <c r="G181" i="2"/>
  <c r="F181" i="2"/>
  <c r="E181" i="2"/>
  <c r="J180" i="2"/>
  <c r="I180" i="2"/>
  <c r="H180" i="2"/>
  <c r="G180" i="2"/>
  <c r="F180" i="2"/>
  <c r="E180" i="2"/>
  <c r="J179" i="2"/>
  <c r="I179" i="2"/>
  <c r="H179" i="2"/>
  <c r="G179" i="2"/>
  <c r="F179" i="2"/>
  <c r="E179" i="2"/>
  <c r="J178" i="2"/>
  <c r="I178" i="2"/>
  <c r="H178" i="2"/>
  <c r="G178" i="2"/>
  <c r="F178" i="2"/>
  <c r="E178" i="2"/>
  <c r="J177" i="2"/>
  <c r="I177" i="2"/>
  <c r="H177" i="2"/>
  <c r="G177" i="2"/>
  <c r="F177" i="2"/>
  <c r="E177" i="2"/>
  <c r="J176" i="2"/>
  <c r="I176" i="2"/>
  <c r="H176" i="2"/>
  <c r="G176" i="2"/>
  <c r="F176" i="2"/>
  <c r="E176" i="2"/>
  <c r="J175" i="2"/>
  <c r="I175" i="2"/>
  <c r="H175" i="2"/>
  <c r="G175" i="2"/>
  <c r="F175" i="2"/>
  <c r="E175" i="2"/>
  <c r="J174" i="2"/>
  <c r="I174" i="2"/>
  <c r="H174" i="2"/>
  <c r="G174" i="2"/>
  <c r="F174" i="2"/>
  <c r="E174" i="2"/>
  <c r="J173" i="2"/>
  <c r="I173" i="2"/>
  <c r="H173" i="2"/>
  <c r="G173" i="2"/>
  <c r="F173" i="2"/>
  <c r="E173" i="2"/>
  <c r="J172" i="2"/>
  <c r="I172" i="2"/>
  <c r="H172" i="2"/>
  <c r="G172" i="2"/>
  <c r="F172" i="2"/>
  <c r="E172" i="2"/>
  <c r="J171" i="2"/>
  <c r="I171" i="2"/>
  <c r="H171" i="2"/>
  <c r="G171" i="2"/>
  <c r="F171" i="2"/>
  <c r="E171" i="2"/>
  <c r="J170" i="2"/>
  <c r="I170" i="2"/>
  <c r="H170" i="2"/>
  <c r="G170" i="2"/>
  <c r="F170" i="2"/>
  <c r="E170" i="2"/>
  <c r="J169" i="2"/>
  <c r="I169" i="2"/>
  <c r="H169" i="2"/>
  <c r="G169" i="2"/>
  <c r="F169" i="2"/>
  <c r="E169" i="2"/>
  <c r="J168" i="2"/>
  <c r="I168" i="2"/>
  <c r="H168" i="2"/>
  <c r="G168" i="2"/>
  <c r="F168" i="2"/>
  <c r="E168" i="2"/>
  <c r="J167" i="2"/>
  <c r="I167" i="2"/>
  <c r="H167" i="2"/>
  <c r="G167" i="2"/>
  <c r="F167" i="2"/>
  <c r="E167" i="2"/>
  <c r="J166" i="2"/>
  <c r="I166" i="2"/>
  <c r="H166" i="2"/>
  <c r="G166" i="2"/>
  <c r="F166" i="2"/>
  <c r="E166" i="2"/>
  <c r="J165" i="2"/>
  <c r="I165" i="2"/>
  <c r="H165" i="2"/>
  <c r="G165" i="2"/>
  <c r="F165" i="2"/>
  <c r="E165" i="2"/>
  <c r="D163" i="2"/>
  <c r="D190" i="2" s="1"/>
  <c r="D219" i="2" s="1"/>
  <c r="J158" i="2"/>
  <c r="I158" i="2"/>
  <c r="H158" i="2"/>
  <c r="G158" i="2"/>
  <c r="F158" i="2"/>
  <c r="E158" i="2"/>
  <c r="J157" i="2"/>
  <c r="I157" i="2"/>
  <c r="H157" i="2"/>
  <c r="G157" i="2"/>
  <c r="F157" i="2"/>
  <c r="E157" i="2"/>
  <c r="J156" i="2"/>
  <c r="I156" i="2"/>
  <c r="H156" i="2"/>
  <c r="G156" i="2"/>
  <c r="F156" i="2"/>
  <c r="E156" i="2"/>
  <c r="J155" i="2"/>
  <c r="I155" i="2"/>
  <c r="H155" i="2"/>
  <c r="G155" i="2"/>
  <c r="F155" i="2"/>
  <c r="E155" i="2"/>
  <c r="J154" i="2"/>
  <c r="I154" i="2"/>
  <c r="H154" i="2"/>
  <c r="G154" i="2"/>
  <c r="F154" i="2"/>
  <c r="E154" i="2"/>
  <c r="J153" i="2"/>
  <c r="I153" i="2"/>
  <c r="H153" i="2"/>
  <c r="G153" i="2"/>
  <c r="F153" i="2"/>
  <c r="E153" i="2"/>
  <c r="J152" i="2"/>
  <c r="I152" i="2"/>
  <c r="H152" i="2"/>
  <c r="G152" i="2"/>
  <c r="F152" i="2"/>
  <c r="E152" i="2"/>
  <c r="G151" i="2"/>
  <c r="F151" i="2"/>
  <c r="E151" i="2"/>
  <c r="J150" i="2"/>
  <c r="I150" i="2"/>
  <c r="H150" i="2"/>
  <c r="G150" i="2"/>
  <c r="F150" i="2"/>
  <c r="E150" i="2"/>
  <c r="J149" i="2"/>
  <c r="I149" i="2"/>
  <c r="H149" i="2"/>
  <c r="G149" i="2"/>
  <c r="F149" i="2"/>
  <c r="E149" i="2"/>
  <c r="J148" i="2"/>
  <c r="I148" i="2"/>
  <c r="H148" i="2"/>
  <c r="G148" i="2"/>
  <c r="F148" i="2"/>
  <c r="E148" i="2"/>
  <c r="J147" i="2"/>
  <c r="I147" i="2"/>
  <c r="H147" i="2"/>
  <c r="G147" i="2"/>
  <c r="F147" i="2"/>
  <c r="E147" i="2"/>
  <c r="J145" i="2"/>
  <c r="I145" i="2"/>
  <c r="H145" i="2"/>
  <c r="G145" i="2"/>
  <c r="F145" i="2"/>
  <c r="E145" i="2"/>
  <c r="J144" i="2"/>
  <c r="I144" i="2"/>
  <c r="H144" i="2"/>
  <c r="G144" i="2"/>
  <c r="F144" i="2"/>
  <c r="E144" i="2"/>
  <c r="J143" i="2"/>
  <c r="I143" i="2"/>
  <c r="H143" i="2"/>
  <c r="G143" i="2"/>
  <c r="F143" i="2"/>
  <c r="E143" i="2"/>
  <c r="J142" i="2"/>
  <c r="I142" i="2"/>
  <c r="H142" i="2"/>
  <c r="G142" i="2"/>
  <c r="F142" i="2"/>
  <c r="E142" i="2"/>
  <c r="J141" i="2"/>
  <c r="I141" i="2"/>
  <c r="H141" i="2"/>
  <c r="G141" i="2"/>
  <c r="F141" i="2"/>
  <c r="E141" i="2"/>
  <c r="J131" i="2"/>
  <c r="I131" i="2"/>
  <c r="H131" i="2"/>
  <c r="G131" i="2"/>
  <c r="F131" i="2"/>
  <c r="E131" i="2"/>
  <c r="J130" i="2"/>
  <c r="I130" i="2"/>
  <c r="H130" i="2"/>
  <c r="G130" i="2"/>
  <c r="F130" i="2"/>
  <c r="E130" i="2"/>
  <c r="J129" i="2"/>
  <c r="I129" i="2"/>
  <c r="H129" i="2"/>
  <c r="G129" i="2"/>
  <c r="F129" i="2"/>
  <c r="E129" i="2"/>
  <c r="J128" i="2"/>
  <c r="I128" i="2"/>
  <c r="H128" i="2"/>
  <c r="G128" i="2"/>
  <c r="F128" i="2"/>
  <c r="E128" i="2"/>
  <c r="J127" i="2"/>
  <c r="I127" i="2"/>
  <c r="H127" i="2"/>
  <c r="G127" i="2"/>
  <c r="F127" i="2"/>
  <c r="E127" i="2"/>
  <c r="J126" i="2"/>
  <c r="I126" i="2"/>
  <c r="H126" i="2"/>
  <c r="G126" i="2"/>
  <c r="F126" i="2"/>
  <c r="E126" i="2"/>
  <c r="J125" i="2"/>
  <c r="I125" i="2"/>
  <c r="H125" i="2"/>
  <c r="G125" i="2"/>
  <c r="F125" i="2"/>
  <c r="E125" i="2"/>
  <c r="J124" i="2"/>
  <c r="I124" i="2"/>
  <c r="H124" i="2"/>
  <c r="G124" i="2"/>
  <c r="F124" i="2"/>
  <c r="E124" i="2"/>
  <c r="J123" i="2"/>
  <c r="I123" i="2"/>
  <c r="H123" i="2"/>
  <c r="G123" i="2"/>
  <c r="F123" i="2"/>
  <c r="E123" i="2"/>
  <c r="J122" i="2"/>
  <c r="I122" i="2"/>
  <c r="H122" i="2"/>
  <c r="G122" i="2"/>
  <c r="F122" i="2"/>
  <c r="E122" i="2"/>
  <c r="J121" i="2"/>
  <c r="I121" i="2"/>
  <c r="H121" i="2"/>
  <c r="G121" i="2"/>
  <c r="F121" i="2"/>
  <c r="E121" i="2"/>
  <c r="J120" i="2"/>
  <c r="I120" i="2"/>
  <c r="H120" i="2"/>
  <c r="G120" i="2"/>
  <c r="F120" i="2"/>
  <c r="E120" i="2"/>
  <c r="J119" i="2"/>
  <c r="I119" i="2"/>
  <c r="H119" i="2"/>
  <c r="G119" i="2"/>
  <c r="F119" i="2"/>
  <c r="E119" i="2"/>
  <c r="J118" i="2"/>
  <c r="I118" i="2"/>
  <c r="H118" i="2"/>
  <c r="G118" i="2"/>
  <c r="F118" i="2"/>
  <c r="E118" i="2"/>
  <c r="J117" i="2"/>
  <c r="I117" i="2"/>
  <c r="H117" i="2"/>
  <c r="G117" i="2"/>
  <c r="F117" i="2"/>
  <c r="E117" i="2"/>
  <c r="J116" i="2"/>
  <c r="I116" i="2"/>
  <c r="H116" i="2"/>
  <c r="G116" i="2"/>
  <c r="F116" i="2"/>
  <c r="E116" i="2"/>
  <c r="J115" i="2"/>
  <c r="I115" i="2"/>
  <c r="H115" i="2"/>
  <c r="G115" i="2"/>
  <c r="F115" i="2"/>
  <c r="E115" i="2"/>
  <c r="J114" i="2"/>
  <c r="I114" i="2"/>
  <c r="H114" i="2"/>
  <c r="G114" i="2"/>
  <c r="F114" i="2"/>
  <c r="E114" i="2"/>
  <c r="J113" i="2"/>
  <c r="I113" i="2"/>
  <c r="H113" i="2"/>
  <c r="G113" i="2"/>
  <c r="F113" i="2"/>
  <c r="E113" i="2"/>
  <c r="J107" i="2"/>
  <c r="I107" i="2"/>
  <c r="H107" i="2"/>
  <c r="G107" i="2"/>
  <c r="F107" i="2"/>
  <c r="E107" i="2"/>
  <c r="J106" i="2"/>
  <c r="I106" i="2"/>
  <c r="H106" i="2"/>
  <c r="G106" i="2"/>
  <c r="F106" i="2"/>
  <c r="E106" i="2"/>
  <c r="J105" i="2"/>
  <c r="I105" i="2"/>
  <c r="H105" i="2"/>
  <c r="G105" i="2"/>
  <c r="F105" i="2"/>
  <c r="E105" i="2"/>
  <c r="J104" i="2"/>
  <c r="I104" i="2"/>
  <c r="H104" i="2"/>
  <c r="G104" i="2"/>
  <c r="F104" i="2"/>
  <c r="E104" i="2"/>
  <c r="J103" i="2"/>
  <c r="I103" i="2"/>
  <c r="H103" i="2"/>
  <c r="G103" i="2"/>
  <c r="F103" i="2"/>
  <c r="E103" i="2"/>
  <c r="J102" i="2"/>
  <c r="I102" i="2"/>
  <c r="H102" i="2"/>
  <c r="G102" i="2"/>
  <c r="F102" i="2"/>
  <c r="E102" i="2"/>
  <c r="J101" i="2"/>
  <c r="I101" i="2"/>
  <c r="H101" i="2"/>
  <c r="G101" i="2"/>
  <c r="F101" i="2"/>
  <c r="E101" i="2"/>
  <c r="J100" i="2"/>
  <c r="I100" i="2"/>
  <c r="H100" i="2"/>
  <c r="G100" i="2"/>
  <c r="F100" i="2"/>
  <c r="E100" i="2"/>
  <c r="J99" i="2"/>
  <c r="I99" i="2"/>
  <c r="H99" i="2"/>
  <c r="G99" i="2"/>
  <c r="F99" i="2"/>
  <c r="E99" i="2"/>
  <c r="J98" i="2"/>
  <c r="I98" i="2"/>
  <c r="H98" i="2"/>
  <c r="G98" i="2"/>
  <c r="F98" i="2"/>
  <c r="E98" i="2"/>
  <c r="J97" i="2"/>
  <c r="I97" i="2"/>
  <c r="H97" i="2"/>
  <c r="G97" i="2"/>
  <c r="F97" i="2"/>
  <c r="E97" i="2"/>
  <c r="J96" i="2"/>
  <c r="I96" i="2"/>
  <c r="H96" i="2"/>
  <c r="G96" i="2"/>
  <c r="F96" i="2"/>
  <c r="E96" i="2"/>
  <c r="J95" i="2"/>
  <c r="I95" i="2"/>
  <c r="H95" i="2"/>
  <c r="G95" i="2"/>
  <c r="F95" i="2"/>
  <c r="E95" i="2"/>
  <c r="J94" i="2"/>
  <c r="I94" i="2"/>
  <c r="H94" i="2"/>
  <c r="G94" i="2"/>
  <c r="F94" i="2"/>
  <c r="E94" i="2"/>
  <c r="J93" i="2"/>
  <c r="I93" i="2"/>
  <c r="H93" i="2"/>
  <c r="G93" i="2"/>
  <c r="F93" i="2"/>
  <c r="E93" i="2"/>
  <c r="J92" i="2"/>
  <c r="I92" i="2"/>
  <c r="H92" i="2"/>
  <c r="G92" i="2"/>
  <c r="F92" i="2"/>
  <c r="E92" i="2"/>
  <c r="J91" i="2"/>
  <c r="I91" i="2"/>
  <c r="H91" i="2"/>
  <c r="G91" i="2"/>
  <c r="F91" i="2"/>
  <c r="E91" i="2"/>
  <c r="J90" i="2"/>
  <c r="I90" i="2"/>
  <c r="H90" i="2"/>
  <c r="G90" i="2"/>
  <c r="F90" i="2"/>
  <c r="E90" i="2"/>
  <c r="J89" i="2"/>
  <c r="I89" i="2"/>
  <c r="H89" i="2"/>
  <c r="G89" i="2"/>
  <c r="F89" i="2"/>
  <c r="E89" i="2"/>
  <c r="J88" i="2"/>
  <c r="I88" i="2"/>
  <c r="H88" i="2"/>
  <c r="G88" i="2"/>
  <c r="F88" i="2"/>
  <c r="E88" i="2"/>
  <c r="J87" i="2"/>
  <c r="I87" i="2"/>
  <c r="H87" i="2"/>
  <c r="G87" i="2"/>
  <c r="F87" i="2"/>
  <c r="E87" i="2"/>
  <c r="D84" i="2"/>
  <c r="D111" i="2" s="1"/>
  <c r="D139" i="2" s="1"/>
  <c r="J79" i="2"/>
  <c r="I79" i="2"/>
  <c r="H79" i="2"/>
  <c r="G79" i="2"/>
  <c r="F79" i="2"/>
  <c r="E79" i="2"/>
  <c r="D79" i="2"/>
  <c r="D159" i="2" s="1"/>
  <c r="D239" i="2" s="1"/>
  <c r="D321" i="2" s="1"/>
  <c r="D401" i="2" s="1"/>
  <c r="C79" i="2"/>
  <c r="C159" i="2" s="1"/>
  <c r="C239" i="2" s="1"/>
  <c r="C321" i="2" s="1"/>
  <c r="C401" i="2" s="1"/>
  <c r="B79" i="2"/>
  <c r="B159" i="2" s="1"/>
  <c r="B239" i="2" s="1"/>
  <c r="B321" i="2" s="1"/>
  <c r="B401" i="2" s="1"/>
  <c r="A79" i="2"/>
  <c r="A159" i="2" s="1"/>
  <c r="A239" i="2" s="1"/>
  <c r="A321" i="2" s="1"/>
  <c r="A401" i="2" s="1"/>
  <c r="J78" i="2"/>
  <c r="I78" i="2"/>
  <c r="H78" i="2"/>
  <c r="G78" i="2"/>
  <c r="F78" i="2"/>
  <c r="E78" i="2"/>
  <c r="D78" i="2"/>
  <c r="D158" i="2" s="1"/>
  <c r="D238" i="2" s="1"/>
  <c r="D320" i="2" s="1"/>
  <c r="D400" i="2" s="1"/>
  <c r="C78" i="2"/>
  <c r="C158" i="2" s="1"/>
  <c r="C238" i="2" s="1"/>
  <c r="C320" i="2" s="1"/>
  <c r="C400" i="2" s="1"/>
  <c r="B78" i="2"/>
  <c r="B158" i="2" s="1"/>
  <c r="B238" i="2" s="1"/>
  <c r="B320" i="2" s="1"/>
  <c r="B400" i="2" s="1"/>
  <c r="A78" i="2"/>
  <c r="A158" i="2" s="1"/>
  <c r="A238" i="2" s="1"/>
  <c r="A320" i="2" s="1"/>
  <c r="A400" i="2" s="1"/>
  <c r="J77" i="2"/>
  <c r="I77" i="2"/>
  <c r="H77" i="2"/>
  <c r="G77" i="2"/>
  <c r="F77" i="2"/>
  <c r="E77" i="2"/>
  <c r="D77" i="2"/>
  <c r="D157" i="2" s="1"/>
  <c r="D237" i="2" s="1"/>
  <c r="D319" i="2" s="1"/>
  <c r="D399" i="2" s="1"/>
  <c r="C77" i="2"/>
  <c r="C157" i="2" s="1"/>
  <c r="C237" i="2" s="1"/>
  <c r="C319" i="2" s="1"/>
  <c r="C399" i="2" s="1"/>
  <c r="B77" i="2"/>
  <c r="B157" i="2" s="1"/>
  <c r="B237" i="2" s="1"/>
  <c r="B319" i="2" s="1"/>
  <c r="B399" i="2" s="1"/>
  <c r="A77" i="2"/>
  <c r="A157" i="2" s="1"/>
  <c r="A237" i="2" s="1"/>
  <c r="A319" i="2" s="1"/>
  <c r="A399" i="2" s="1"/>
  <c r="J76" i="2"/>
  <c r="I76" i="2"/>
  <c r="H76" i="2"/>
  <c r="G76" i="2"/>
  <c r="F76" i="2"/>
  <c r="E76" i="2"/>
  <c r="D76" i="2"/>
  <c r="D156" i="2" s="1"/>
  <c r="D236" i="2" s="1"/>
  <c r="D318" i="2" s="1"/>
  <c r="D398" i="2" s="1"/>
  <c r="C76" i="2"/>
  <c r="C156" i="2" s="1"/>
  <c r="C236" i="2" s="1"/>
  <c r="C318" i="2" s="1"/>
  <c r="C398" i="2" s="1"/>
  <c r="B76" i="2"/>
  <c r="B156" i="2" s="1"/>
  <c r="B236" i="2" s="1"/>
  <c r="B318" i="2" s="1"/>
  <c r="B398" i="2" s="1"/>
  <c r="A76" i="2"/>
  <c r="A156" i="2" s="1"/>
  <c r="A236" i="2" s="1"/>
  <c r="A318" i="2" s="1"/>
  <c r="A398" i="2" s="1"/>
  <c r="J75" i="2"/>
  <c r="I75" i="2"/>
  <c r="H75" i="2"/>
  <c r="G75" i="2"/>
  <c r="F75" i="2"/>
  <c r="E75" i="2"/>
  <c r="D75" i="2"/>
  <c r="D155" i="2" s="1"/>
  <c r="D235" i="2" s="1"/>
  <c r="D317" i="2" s="1"/>
  <c r="D397" i="2" s="1"/>
  <c r="C75" i="2"/>
  <c r="C155" i="2" s="1"/>
  <c r="C235" i="2" s="1"/>
  <c r="C317" i="2" s="1"/>
  <c r="C397" i="2" s="1"/>
  <c r="B75" i="2"/>
  <c r="B155" i="2" s="1"/>
  <c r="B235" i="2" s="1"/>
  <c r="B317" i="2" s="1"/>
  <c r="B397" i="2" s="1"/>
  <c r="A75" i="2"/>
  <c r="A155" i="2" s="1"/>
  <c r="A235" i="2" s="1"/>
  <c r="A317" i="2" s="1"/>
  <c r="A397" i="2" s="1"/>
  <c r="J74" i="2"/>
  <c r="I74" i="2"/>
  <c r="H74" i="2"/>
  <c r="G74" i="2"/>
  <c r="F74" i="2"/>
  <c r="E74" i="2"/>
  <c r="D74" i="2"/>
  <c r="D154" i="2" s="1"/>
  <c r="D234" i="2" s="1"/>
  <c r="D316" i="2" s="1"/>
  <c r="D396" i="2" s="1"/>
  <c r="C74" i="2"/>
  <c r="C154" i="2" s="1"/>
  <c r="C234" i="2" s="1"/>
  <c r="C316" i="2" s="1"/>
  <c r="C396" i="2" s="1"/>
  <c r="B74" i="2"/>
  <c r="B154" i="2" s="1"/>
  <c r="B234" i="2" s="1"/>
  <c r="B316" i="2" s="1"/>
  <c r="B396" i="2" s="1"/>
  <c r="A74" i="2"/>
  <c r="A154" i="2" s="1"/>
  <c r="A234" i="2" s="1"/>
  <c r="A316" i="2" s="1"/>
  <c r="A396" i="2" s="1"/>
  <c r="J73" i="2"/>
  <c r="I73" i="2"/>
  <c r="H73" i="2"/>
  <c r="G73" i="2"/>
  <c r="F73" i="2"/>
  <c r="E73" i="2"/>
  <c r="D73" i="2"/>
  <c r="D153" i="2" s="1"/>
  <c r="D233" i="2" s="1"/>
  <c r="D315" i="2" s="1"/>
  <c r="D395" i="2" s="1"/>
  <c r="C73" i="2"/>
  <c r="C153" i="2" s="1"/>
  <c r="C233" i="2" s="1"/>
  <c r="C315" i="2" s="1"/>
  <c r="C395" i="2" s="1"/>
  <c r="B73" i="2"/>
  <c r="B153" i="2" s="1"/>
  <c r="B233" i="2" s="1"/>
  <c r="B315" i="2" s="1"/>
  <c r="B395" i="2" s="1"/>
  <c r="A73" i="2"/>
  <c r="A153" i="2" s="1"/>
  <c r="A233" i="2" s="1"/>
  <c r="A315" i="2" s="1"/>
  <c r="A395" i="2" s="1"/>
  <c r="J72" i="2"/>
  <c r="I72" i="2"/>
  <c r="H72" i="2"/>
  <c r="G72" i="2"/>
  <c r="F72" i="2"/>
  <c r="E72" i="2"/>
  <c r="D72" i="2"/>
  <c r="D152" i="2" s="1"/>
  <c r="D232" i="2" s="1"/>
  <c r="D314" i="2" s="1"/>
  <c r="D394" i="2" s="1"/>
  <c r="C72" i="2"/>
  <c r="C152" i="2" s="1"/>
  <c r="C232" i="2" s="1"/>
  <c r="C314" i="2" s="1"/>
  <c r="C394" i="2" s="1"/>
  <c r="B72" i="2"/>
  <c r="B152" i="2" s="1"/>
  <c r="B232" i="2" s="1"/>
  <c r="B314" i="2" s="1"/>
  <c r="B394" i="2" s="1"/>
  <c r="A72" i="2"/>
  <c r="A152" i="2" s="1"/>
  <c r="A232" i="2" s="1"/>
  <c r="A314" i="2" s="1"/>
  <c r="A394" i="2" s="1"/>
  <c r="D71" i="2"/>
  <c r="D151" i="2" s="1"/>
  <c r="D231" i="2" s="1"/>
  <c r="D313" i="2" s="1"/>
  <c r="D393" i="2" s="1"/>
  <c r="C231" i="2"/>
  <c r="C313" i="2" s="1"/>
  <c r="C393" i="2" s="1"/>
  <c r="B231" i="2"/>
  <c r="B313" i="2" s="1"/>
  <c r="B393" i="2" s="1"/>
  <c r="A71" i="2"/>
  <c r="A151" i="2" s="1"/>
  <c r="A231" i="2" s="1"/>
  <c r="A313" i="2" s="1"/>
  <c r="A393" i="2" s="1"/>
  <c r="J70" i="2"/>
  <c r="I70" i="2"/>
  <c r="H70" i="2"/>
  <c r="G70" i="2"/>
  <c r="F70" i="2"/>
  <c r="E70" i="2"/>
  <c r="D70" i="2"/>
  <c r="D150" i="2" s="1"/>
  <c r="D230" i="2" s="1"/>
  <c r="D312" i="2" s="1"/>
  <c r="D392" i="2" s="1"/>
  <c r="C70" i="2"/>
  <c r="C150" i="2" s="1"/>
  <c r="C230" i="2" s="1"/>
  <c r="C312" i="2" s="1"/>
  <c r="C392" i="2" s="1"/>
  <c r="B70" i="2"/>
  <c r="B230" i="2" s="1"/>
  <c r="B312" i="2" s="1"/>
  <c r="B392" i="2" s="1"/>
  <c r="A70" i="2"/>
  <c r="A150" i="2" s="1"/>
  <c r="A230" i="2" s="1"/>
  <c r="A312" i="2" s="1"/>
  <c r="A392" i="2" s="1"/>
  <c r="J69" i="2"/>
  <c r="I69" i="2"/>
  <c r="H69" i="2"/>
  <c r="G69" i="2"/>
  <c r="F69" i="2"/>
  <c r="E69" i="2"/>
  <c r="D69" i="2"/>
  <c r="D149" i="2" s="1"/>
  <c r="D229" i="2" s="1"/>
  <c r="D311" i="2" s="1"/>
  <c r="D391" i="2" s="1"/>
  <c r="C69" i="2"/>
  <c r="C149" i="2" s="1"/>
  <c r="C229" i="2" s="1"/>
  <c r="C311" i="2" s="1"/>
  <c r="C391" i="2" s="1"/>
  <c r="B69" i="2"/>
  <c r="B229" i="2" s="1"/>
  <c r="B311" i="2" s="1"/>
  <c r="B391" i="2" s="1"/>
  <c r="A69" i="2"/>
  <c r="A149" i="2" s="1"/>
  <c r="A229" i="2" s="1"/>
  <c r="A311" i="2" s="1"/>
  <c r="A391" i="2" s="1"/>
  <c r="J68" i="2"/>
  <c r="I68" i="2"/>
  <c r="H68" i="2"/>
  <c r="G68" i="2"/>
  <c r="F68" i="2"/>
  <c r="E68" i="2"/>
  <c r="D68" i="2"/>
  <c r="D148" i="2" s="1"/>
  <c r="D228" i="2" s="1"/>
  <c r="D310" i="2" s="1"/>
  <c r="D390" i="2" s="1"/>
  <c r="C68" i="2"/>
  <c r="C148" i="2" s="1"/>
  <c r="C228" i="2" s="1"/>
  <c r="C310" i="2" s="1"/>
  <c r="C390" i="2" s="1"/>
  <c r="B68" i="2"/>
  <c r="B228" i="2" s="1"/>
  <c r="B310" i="2" s="1"/>
  <c r="B390" i="2" s="1"/>
  <c r="A68" i="2"/>
  <c r="A148" i="2" s="1"/>
  <c r="A228" i="2" s="1"/>
  <c r="A310" i="2" s="1"/>
  <c r="A390" i="2" s="1"/>
  <c r="J67" i="2"/>
  <c r="I67" i="2"/>
  <c r="H67" i="2"/>
  <c r="G67" i="2"/>
  <c r="F67" i="2"/>
  <c r="E67" i="2"/>
  <c r="D67" i="2"/>
  <c r="D147" i="2" s="1"/>
  <c r="D227" i="2" s="1"/>
  <c r="D309" i="2" s="1"/>
  <c r="D389" i="2" s="1"/>
  <c r="C67" i="2"/>
  <c r="C147" i="2" s="1"/>
  <c r="C227" i="2" s="1"/>
  <c r="C309" i="2" s="1"/>
  <c r="C389" i="2" s="1"/>
  <c r="B67" i="2"/>
  <c r="B227" i="2" s="1"/>
  <c r="B309" i="2" s="1"/>
  <c r="B389" i="2" s="1"/>
  <c r="A67" i="2"/>
  <c r="A147" i="2" s="1"/>
  <c r="A227" i="2" s="1"/>
  <c r="A309" i="2" s="1"/>
  <c r="A389" i="2" s="1"/>
  <c r="D146" i="2"/>
  <c r="D226" i="2" s="1"/>
  <c r="D308" i="2" s="1"/>
  <c r="D388" i="2" s="1"/>
  <c r="C226" i="2"/>
  <c r="C308" i="2" s="1"/>
  <c r="C388" i="2" s="1"/>
  <c r="B226" i="2"/>
  <c r="B308" i="2" s="1"/>
  <c r="B388" i="2" s="1"/>
  <c r="A66" i="2"/>
  <c r="A146" i="2" s="1"/>
  <c r="A226" i="2" s="1"/>
  <c r="A308" i="2" s="1"/>
  <c r="A388" i="2" s="1"/>
  <c r="J65" i="2"/>
  <c r="I65" i="2"/>
  <c r="H65" i="2"/>
  <c r="G65" i="2"/>
  <c r="F65" i="2"/>
  <c r="E65" i="2"/>
  <c r="D65" i="2"/>
  <c r="D145" i="2" s="1"/>
  <c r="D225" i="2" s="1"/>
  <c r="D307" i="2" s="1"/>
  <c r="D387" i="2" s="1"/>
  <c r="C65" i="2"/>
  <c r="C225" i="2" s="1"/>
  <c r="C307" i="2" s="1"/>
  <c r="C387" i="2" s="1"/>
  <c r="B65" i="2"/>
  <c r="B225" i="2" s="1"/>
  <c r="B307" i="2" s="1"/>
  <c r="B387" i="2" s="1"/>
  <c r="A65" i="2"/>
  <c r="A145" i="2" s="1"/>
  <c r="A225" i="2" s="1"/>
  <c r="A307" i="2" s="1"/>
  <c r="A387" i="2" s="1"/>
  <c r="J64" i="2"/>
  <c r="I64" i="2"/>
  <c r="H64" i="2"/>
  <c r="G64" i="2"/>
  <c r="F64" i="2"/>
  <c r="E64" i="2"/>
  <c r="D64" i="2"/>
  <c r="D144" i="2" s="1"/>
  <c r="D224" i="2" s="1"/>
  <c r="D306" i="2" s="1"/>
  <c r="D386" i="2" s="1"/>
  <c r="C64" i="2"/>
  <c r="C144" i="2" s="1"/>
  <c r="C224" i="2" s="1"/>
  <c r="C306" i="2" s="1"/>
  <c r="C386" i="2" s="1"/>
  <c r="B64" i="2"/>
  <c r="B144" i="2" s="1"/>
  <c r="B224" i="2" s="1"/>
  <c r="B306" i="2" s="1"/>
  <c r="B386" i="2" s="1"/>
  <c r="A64" i="2"/>
  <c r="A144" i="2" s="1"/>
  <c r="A224" i="2" s="1"/>
  <c r="A306" i="2" s="1"/>
  <c r="A386" i="2" s="1"/>
  <c r="D63" i="2"/>
  <c r="D143" i="2" s="1"/>
  <c r="D223" i="2" s="1"/>
  <c r="D305" i="2" s="1"/>
  <c r="D385" i="2" s="1"/>
  <c r="C143" i="2"/>
  <c r="C223" i="2" s="1"/>
  <c r="C305" i="2" s="1"/>
  <c r="C385" i="2" s="1"/>
  <c r="B143" i="2"/>
  <c r="B223" i="2" s="1"/>
  <c r="B305" i="2" s="1"/>
  <c r="B385" i="2" s="1"/>
  <c r="A63" i="2"/>
  <c r="A143" i="2" s="1"/>
  <c r="A223" i="2" s="1"/>
  <c r="A305" i="2" s="1"/>
  <c r="A385" i="2" s="1"/>
  <c r="J62" i="2"/>
  <c r="I62" i="2"/>
  <c r="H62" i="2"/>
  <c r="G62" i="2"/>
  <c r="F62" i="2"/>
  <c r="E62" i="2"/>
  <c r="D62" i="2"/>
  <c r="D142" i="2" s="1"/>
  <c r="D222" i="2" s="1"/>
  <c r="D304" i="2" s="1"/>
  <c r="D384" i="2" s="1"/>
  <c r="C62" i="2"/>
  <c r="C142" i="2" s="1"/>
  <c r="C222" i="2" s="1"/>
  <c r="C304" i="2" s="1"/>
  <c r="C384" i="2" s="1"/>
  <c r="B62" i="2"/>
  <c r="B142" i="2" s="1"/>
  <c r="B222" i="2" s="1"/>
  <c r="B304" i="2" s="1"/>
  <c r="B384" i="2" s="1"/>
  <c r="A62" i="2"/>
  <c r="A142" i="2" s="1"/>
  <c r="A222" i="2" s="1"/>
  <c r="A304" i="2" s="1"/>
  <c r="A384" i="2" s="1"/>
  <c r="J61" i="2"/>
  <c r="I61" i="2"/>
  <c r="H61" i="2"/>
  <c r="G61" i="2"/>
  <c r="F61" i="2"/>
  <c r="E61" i="2"/>
  <c r="D61" i="2"/>
  <c r="D141" i="2" s="1"/>
  <c r="D221" i="2" s="1"/>
  <c r="D303" i="2" s="1"/>
  <c r="D383" i="2" s="1"/>
  <c r="C61" i="2"/>
  <c r="C141" i="2" s="1"/>
  <c r="C221" i="2" s="1"/>
  <c r="C303" i="2" s="1"/>
  <c r="C383" i="2" s="1"/>
  <c r="B61" i="2"/>
  <c r="B141" i="2" s="1"/>
  <c r="B221" i="2" s="1"/>
  <c r="B303" i="2" s="1"/>
  <c r="B383" i="2" s="1"/>
  <c r="A61" i="2"/>
  <c r="A141" i="2" s="1"/>
  <c r="A221" i="2" s="1"/>
  <c r="A303" i="2" s="1"/>
  <c r="A383" i="2" s="1"/>
  <c r="J55" i="2"/>
  <c r="I55" i="2"/>
  <c r="H55" i="2"/>
  <c r="G55" i="2"/>
  <c r="F55" i="2"/>
  <c r="E55" i="2"/>
  <c r="D55" i="2"/>
  <c r="C55" i="2"/>
  <c r="C135" i="2" s="1"/>
  <c r="B55" i="2"/>
  <c r="A55" i="2"/>
  <c r="A135" i="2" s="1"/>
  <c r="A215" i="2" s="1"/>
  <c r="A295" i="2" s="1"/>
  <c r="A377" i="2" s="1"/>
  <c r="J54" i="2"/>
  <c r="I54" i="2"/>
  <c r="H54" i="2"/>
  <c r="G54" i="2"/>
  <c r="F54" i="2"/>
  <c r="E54" i="2"/>
  <c r="D54" i="2"/>
  <c r="C54" i="2"/>
  <c r="C134" i="2" s="1"/>
  <c r="B54" i="2"/>
  <c r="A54" i="2"/>
  <c r="A134" i="2" s="1"/>
  <c r="A214" i="2" s="1"/>
  <c r="A294" i="2" s="1"/>
  <c r="A376" i="2" s="1"/>
  <c r="A53" i="2"/>
  <c r="A133" i="2" s="1"/>
  <c r="A213" i="2" s="1"/>
  <c r="A293" i="2" s="1"/>
  <c r="A375" i="2" s="1"/>
  <c r="J51" i="2"/>
  <c r="I51" i="2"/>
  <c r="H51" i="2"/>
  <c r="G51" i="2"/>
  <c r="F51" i="2"/>
  <c r="E51" i="2"/>
  <c r="D51" i="2"/>
  <c r="D131" i="2" s="1"/>
  <c r="D211" i="2" s="1"/>
  <c r="D291" i="2" s="1"/>
  <c r="D373" i="2" s="1"/>
  <c r="C51" i="2"/>
  <c r="C131" i="2" s="1"/>
  <c r="B51" i="2"/>
  <c r="B131" i="2" s="1"/>
  <c r="B211" i="2" s="1"/>
  <c r="B291" i="2" s="1"/>
  <c r="B373" i="2" s="1"/>
  <c r="A51" i="2"/>
  <c r="A131" i="2" s="1"/>
  <c r="A211" i="2" s="1"/>
  <c r="A291" i="2" s="1"/>
  <c r="A373" i="2" s="1"/>
  <c r="J50" i="2"/>
  <c r="I50" i="2"/>
  <c r="H50" i="2"/>
  <c r="G50" i="2"/>
  <c r="F50" i="2"/>
  <c r="E50" i="2"/>
  <c r="D50" i="2"/>
  <c r="D130" i="2" s="1"/>
  <c r="D210" i="2" s="1"/>
  <c r="D290" i="2" s="1"/>
  <c r="D372" i="2" s="1"/>
  <c r="C50" i="2"/>
  <c r="C130" i="2" s="1"/>
  <c r="B50" i="2"/>
  <c r="B130" i="2" s="1"/>
  <c r="B210" i="2" s="1"/>
  <c r="B290" i="2" s="1"/>
  <c r="B372" i="2" s="1"/>
  <c r="A50" i="2"/>
  <c r="A130" i="2" s="1"/>
  <c r="A210" i="2" s="1"/>
  <c r="A290" i="2" s="1"/>
  <c r="A372" i="2" s="1"/>
  <c r="J49" i="2"/>
  <c r="I49" i="2"/>
  <c r="H49" i="2"/>
  <c r="G49" i="2"/>
  <c r="F49" i="2"/>
  <c r="E49" i="2"/>
  <c r="D49" i="2"/>
  <c r="D129" i="2" s="1"/>
  <c r="D209" i="2" s="1"/>
  <c r="D289" i="2" s="1"/>
  <c r="D371" i="2" s="1"/>
  <c r="C49" i="2"/>
  <c r="C129" i="2" s="1"/>
  <c r="B49" i="2"/>
  <c r="B129" i="2" s="1"/>
  <c r="B209" i="2" s="1"/>
  <c r="B289" i="2" s="1"/>
  <c r="B371" i="2" s="1"/>
  <c r="A49" i="2"/>
  <c r="A129" i="2" s="1"/>
  <c r="A209" i="2" s="1"/>
  <c r="A289" i="2" s="1"/>
  <c r="A371" i="2" s="1"/>
  <c r="J48" i="2"/>
  <c r="I48" i="2"/>
  <c r="H48" i="2"/>
  <c r="G48" i="2"/>
  <c r="F48" i="2"/>
  <c r="E48" i="2"/>
  <c r="D48" i="2"/>
  <c r="D128" i="2" s="1"/>
  <c r="D208" i="2" s="1"/>
  <c r="D288" i="2" s="1"/>
  <c r="D370" i="2" s="1"/>
  <c r="C48" i="2"/>
  <c r="C128" i="2" s="1"/>
  <c r="B48" i="2"/>
  <c r="B128" i="2" s="1"/>
  <c r="B208" i="2" s="1"/>
  <c r="B288" i="2" s="1"/>
  <c r="B370" i="2" s="1"/>
  <c r="A48" i="2"/>
  <c r="A128" i="2" s="1"/>
  <c r="A208" i="2" s="1"/>
  <c r="A288" i="2" s="1"/>
  <c r="A370" i="2" s="1"/>
  <c r="J47" i="2"/>
  <c r="I47" i="2"/>
  <c r="H47" i="2"/>
  <c r="G47" i="2"/>
  <c r="F47" i="2"/>
  <c r="E47" i="2"/>
  <c r="D47" i="2"/>
  <c r="D127" i="2" s="1"/>
  <c r="D207" i="2" s="1"/>
  <c r="D287" i="2" s="1"/>
  <c r="D369" i="2" s="1"/>
  <c r="C47" i="2"/>
  <c r="C127" i="2" s="1"/>
  <c r="B47" i="2"/>
  <c r="B127" i="2" s="1"/>
  <c r="B207" i="2" s="1"/>
  <c r="B287" i="2" s="1"/>
  <c r="B369" i="2" s="1"/>
  <c r="A47" i="2"/>
  <c r="A127" i="2" s="1"/>
  <c r="A207" i="2" s="1"/>
  <c r="A287" i="2" s="1"/>
  <c r="A369" i="2" s="1"/>
  <c r="J46" i="2"/>
  <c r="I46" i="2"/>
  <c r="H46" i="2"/>
  <c r="G46" i="2"/>
  <c r="F46" i="2"/>
  <c r="E46" i="2"/>
  <c r="D46" i="2"/>
  <c r="D126" i="2" s="1"/>
  <c r="C46" i="2"/>
  <c r="C126" i="2" s="1"/>
  <c r="B46" i="2"/>
  <c r="B126" i="2" s="1"/>
  <c r="B206" i="2" s="1"/>
  <c r="B286" i="2" s="1"/>
  <c r="B368" i="2" s="1"/>
  <c r="A46" i="2"/>
  <c r="A126" i="2" s="1"/>
  <c r="A206" i="2" s="1"/>
  <c r="A286" i="2" s="1"/>
  <c r="A368" i="2" s="1"/>
  <c r="J45" i="2"/>
  <c r="I45" i="2"/>
  <c r="H45" i="2"/>
  <c r="G45" i="2"/>
  <c r="F45" i="2"/>
  <c r="E45" i="2"/>
  <c r="D45" i="2"/>
  <c r="D125" i="2" s="1"/>
  <c r="D204" i="2" s="1"/>
  <c r="D285" i="2" s="1"/>
  <c r="D366" i="2" s="1"/>
  <c r="C45" i="2"/>
  <c r="C125" i="2" s="1"/>
  <c r="C204" i="2" s="1"/>
  <c r="C285" i="2" s="1"/>
  <c r="C366" i="2" s="1"/>
  <c r="B45" i="2"/>
  <c r="B125" i="2" s="1"/>
  <c r="B204" i="2" s="1"/>
  <c r="B285" i="2" s="1"/>
  <c r="B366" i="2" s="1"/>
  <c r="A45" i="2"/>
  <c r="A125" i="2" s="1"/>
  <c r="A204" i="2" s="1"/>
  <c r="A285" i="2" s="1"/>
  <c r="A366" i="2" s="1"/>
  <c r="J44" i="2"/>
  <c r="I44" i="2"/>
  <c r="H44" i="2"/>
  <c r="G44" i="2"/>
  <c r="F44" i="2"/>
  <c r="E44" i="2"/>
  <c r="D44" i="2"/>
  <c r="D124" i="2" s="1"/>
  <c r="D203" i="2" s="1"/>
  <c r="D284" i="2" s="1"/>
  <c r="D365" i="2" s="1"/>
  <c r="C44" i="2"/>
  <c r="C124" i="2" s="1"/>
  <c r="C203" i="2" s="1"/>
  <c r="C284" i="2" s="1"/>
  <c r="C365" i="2" s="1"/>
  <c r="B44" i="2"/>
  <c r="B124" i="2" s="1"/>
  <c r="B203" i="2" s="1"/>
  <c r="B284" i="2" s="1"/>
  <c r="B365" i="2" s="1"/>
  <c r="A44" i="2"/>
  <c r="A124" i="2" s="1"/>
  <c r="A203" i="2" s="1"/>
  <c r="A284" i="2" s="1"/>
  <c r="A365" i="2" s="1"/>
  <c r="J43" i="2"/>
  <c r="I43" i="2"/>
  <c r="H43" i="2"/>
  <c r="G43" i="2"/>
  <c r="F43" i="2"/>
  <c r="E43" i="2"/>
  <c r="D43" i="2"/>
  <c r="D123" i="2" s="1"/>
  <c r="D202" i="2" s="1"/>
  <c r="D283" i="2" s="1"/>
  <c r="D364" i="2" s="1"/>
  <c r="C43" i="2"/>
  <c r="C123" i="2" s="1"/>
  <c r="C202" i="2" s="1"/>
  <c r="C283" i="2" s="1"/>
  <c r="C364" i="2" s="1"/>
  <c r="B43" i="2"/>
  <c r="B123" i="2" s="1"/>
  <c r="B202" i="2" s="1"/>
  <c r="B283" i="2" s="1"/>
  <c r="B364" i="2" s="1"/>
  <c r="A43" i="2"/>
  <c r="A123" i="2" s="1"/>
  <c r="A202" i="2" s="1"/>
  <c r="A283" i="2" s="1"/>
  <c r="A364" i="2" s="1"/>
  <c r="J42" i="2"/>
  <c r="I42" i="2"/>
  <c r="H42" i="2"/>
  <c r="G42" i="2"/>
  <c r="F42" i="2"/>
  <c r="E42" i="2"/>
  <c r="D42" i="2"/>
  <c r="D122" i="2" s="1"/>
  <c r="D201" i="2" s="1"/>
  <c r="D282" i="2" s="1"/>
  <c r="D363" i="2" s="1"/>
  <c r="C42" i="2"/>
  <c r="C122" i="2" s="1"/>
  <c r="C201" i="2" s="1"/>
  <c r="C282" i="2" s="1"/>
  <c r="C363" i="2" s="1"/>
  <c r="B42" i="2"/>
  <c r="B122" i="2" s="1"/>
  <c r="B201" i="2" s="1"/>
  <c r="B282" i="2" s="1"/>
  <c r="B363" i="2" s="1"/>
  <c r="A42" i="2"/>
  <c r="A122" i="2" s="1"/>
  <c r="A201" i="2" s="1"/>
  <c r="A282" i="2" s="1"/>
  <c r="A363" i="2" s="1"/>
  <c r="J41" i="2"/>
  <c r="I41" i="2"/>
  <c r="H41" i="2"/>
  <c r="G41" i="2"/>
  <c r="F41" i="2"/>
  <c r="E41" i="2"/>
  <c r="D41" i="2"/>
  <c r="D121" i="2" s="1"/>
  <c r="D200" i="2" s="1"/>
  <c r="D281" i="2" s="1"/>
  <c r="D362" i="2" s="1"/>
  <c r="C41" i="2"/>
  <c r="C121" i="2" s="1"/>
  <c r="C200" i="2" s="1"/>
  <c r="C281" i="2" s="1"/>
  <c r="C362" i="2" s="1"/>
  <c r="B41" i="2"/>
  <c r="B121" i="2" s="1"/>
  <c r="B200" i="2" s="1"/>
  <c r="B281" i="2" s="1"/>
  <c r="B362" i="2" s="1"/>
  <c r="A41" i="2"/>
  <c r="A121" i="2" s="1"/>
  <c r="A200" i="2" s="1"/>
  <c r="A281" i="2" s="1"/>
  <c r="A362" i="2" s="1"/>
  <c r="J40" i="2"/>
  <c r="I40" i="2"/>
  <c r="H40" i="2"/>
  <c r="G40" i="2"/>
  <c r="F40" i="2"/>
  <c r="E40" i="2"/>
  <c r="D40" i="2"/>
  <c r="D120" i="2" s="1"/>
  <c r="D199" i="2" s="1"/>
  <c r="D280" i="2" s="1"/>
  <c r="D361" i="2" s="1"/>
  <c r="C40" i="2"/>
  <c r="C120" i="2" s="1"/>
  <c r="C199" i="2" s="1"/>
  <c r="C280" i="2" s="1"/>
  <c r="C361" i="2" s="1"/>
  <c r="B40" i="2"/>
  <c r="B120" i="2" s="1"/>
  <c r="B199" i="2" s="1"/>
  <c r="B280" i="2" s="1"/>
  <c r="B361" i="2" s="1"/>
  <c r="A40" i="2"/>
  <c r="A120" i="2" s="1"/>
  <c r="A199" i="2" s="1"/>
  <c r="A280" i="2" s="1"/>
  <c r="A361" i="2" s="1"/>
  <c r="J39" i="2"/>
  <c r="I39" i="2"/>
  <c r="H39" i="2"/>
  <c r="G39" i="2"/>
  <c r="F39" i="2"/>
  <c r="E39" i="2"/>
  <c r="D39" i="2"/>
  <c r="D119" i="2" s="1"/>
  <c r="D198" i="2" s="1"/>
  <c r="D279" i="2" s="1"/>
  <c r="D360" i="2" s="1"/>
  <c r="C39" i="2"/>
  <c r="C119" i="2" s="1"/>
  <c r="C198" i="2" s="1"/>
  <c r="C279" i="2" s="1"/>
  <c r="C360" i="2" s="1"/>
  <c r="B39" i="2"/>
  <c r="B119" i="2" s="1"/>
  <c r="B198" i="2" s="1"/>
  <c r="B279" i="2" s="1"/>
  <c r="B360" i="2" s="1"/>
  <c r="A39" i="2"/>
  <c r="A119" i="2" s="1"/>
  <c r="A198" i="2" s="1"/>
  <c r="A279" i="2" s="1"/>
  <c r="A360" i="2" s="1"/>
  <c r="J38" i="2"/>
  <c r="I38" i="2"/>
  <c r="H38" i="2"/>
  <c r="G38" i="2"/>
  <c r="F38" i="2"/>
  <c r="E38" i="2"/>
  <c r="D38" i="2"/>
  <c r="D118" i="2" s="1"/>
  <c r="D197" i="2" s="1"/>
  <c r="D278" i="2" s="1"/>
  <c r="D359" i="2" s="1"/>
  <c r="C38" i="2"/>
  <c r="C118" i="2" s="1"/>
  <c r="C197" i="2" s="1"/>
  <c r="C278" i="2" s="1"/>
  <c r="C359" i="2" s="1"/>
  <c r="B38" i="2"/>
  <c r="B118" i="2" s="1"/>
  <c r="B197" i="2" s="1"/>
  <c r="B278" i="2" s="1"/>
  <c r="B359" i="2" s="1"/>
  <c r="A38" i="2"/>
  <c r="A118" i="2" s="1"/>
  <c r="A197" i="2" s="1"/>
  <c r="A278" i="2" s="1"/>
  <c r="A359" i="2" s="1"/>
  <c r="J37" i="2"/>
  <c r="I37" i="2"/>
  <c r="H37" i="2"/>
  <c r="G37" i="2"/>
  <c r="F37" i="2"/>
  <c r="E37" i="2"/>
  <c r="D37" i="2"/>
  <c r="D117" i="2" s="1"/>
  <c r="D196" i="2" s="1"/>
  <c r="D277" i="2" s="1"/>
  <c r="D358" i="2" s="1"/>
  <c r="C37" i="2"/>
  <c r="C117" i="2" s="1"/>
  <c r="C196" i="2" s="1"/>
  <c r="C277" i="2" s="1"/>
  <c r="C358" i="2" s="1"/>
  <c r="B37" i="2"/>
  <c r="B117" i="2" s="1"/>
  <c r="B196" i="2" s="1"/>
  <c r="B277" i="2" s="1"/>
  <c r="B358" i="2" s="1"/>
  <c r="A37" i="2"/>
  <c r="A117" i="2" s="1"/>
  <c r="A196" i="2" s="1"/>
  <c r="A277" i="2" s="1"/>
  <c r="A358" i="2" s="1"/>
  <c r="J36" i="2"/>
  <c r="I36" i="2"/>
  <c r="H36" i="2"/>
  <c r="G36" i="2"/>
  <c r="F36" i="2"/>
  <c r="E36" i="2"/>
  <c r="D36" i="2"/>
  <c r="D116" i="2" s="1"/>
  <c r="D195" i="2" s="1"/>
  <c r="D276" i="2" s="1"/>
  <c r="D357" i="2" s="1"/>
  <c r="C36" i="2"/>
  <c r="C116" i="2" s="1"/>
  <c r="C195" i="2" s="1"/>
  <c r="C276" i="2" s="1"/>
  <c r="C357" i="2" s="1"/>
  <c r="B36" i="2"/>
  <c r="B116" i="2" s="1"/>
  <c r="B195" i="2" s="1"/>
  <c r="B276" i="2" s="1"/>
  <c r="B357" i="2" s="1"/>
  <c r="A36" i="2"/>
  <c r="A116" i="2" s="1"/>
  <c r="A195" i="2" s="1"/>
  <c r="A276" i="2" s="1"/>
  <c r="A357" i="2" s="1"/>
  <c r="J35" i="2"/>
  <c r="I35" i="2"/>
  <c r="H35" i="2"/>
  <c r="G35" i="2"/>
  <c r="F35" i="2"/>
  <c r="E35" i="2"/>
  <c r="D35" i="2"/>
  <c r="D115" i="2" s="1"/>
  <c r="D194" i="2" s="1"/>
  <c r="D275" i="2" s="1"/>
  <c r="D356" i="2" s="1"/>
  <c r="C35" i="2"/>
  <c r="C115" i="2" s="1"/>
  <c r="C194" i="2" s="1"/>
  <c r="C275" i="2" s="1"/>
  <c r="C356" i="2" s="1"/>
  <c r="B35" i="2"/>
  <c r="B115" i="2" s="1"/>
  <c r="B194" i="2" s="1"/>
  <c r="B275" i="2" s="1"/>
  <c r="B356" i="2" s="1"/>
  <c r="A35" i="2"/>
  <c r="A115" i="2" s="1"/>
  <c r="A194" i="2" s="1"/>
  <c r="J33" i="2"/>
  <c r="I33" i="2"/>
  <c r="H33" i="2"/>
  <c r="G33" i="2"/>
  <c r="F33" i="2"/>
  <c r="E33" i="2"/>
  <c r="D33" i="2"/>
  <c r="D114" i="2" s="1"/>
  <c r="D193" i="2" s="1"/>
  <c r="D274" i="2" s="1"/>
  <c r="D355" i="2" s="1"/>
  <c r="C33" i="2"/>
  <c r="C114" i="2" s="1"/>
  <c r="C193" i="2" s="1"/>
  <c r="C274" i="2" s="1"/>
  <c r="C355" i="2" s="1"/>
  <c r="B33" i="2"/>
  <c r="B114" i="2" s="1"/>
  <c r="B193" i="2" s="1"/>
  <c r="B274" i="2" s="1"/>
  <c r="B355" i="2" s="1"/>
  <c r="A33" i="2"/>
  <c r="A114" i="2" s="1"/>
  <c r="A193" i="2" s="1"/>
  <c r="A274" i="2" s="1"/>
  <c r="A355" i="2" s="1"/>
  <c r="J32" i="2"/>
  <c r="I32" i="2"/>
  <c r="H32" i="2"/>
  <c r="G32" i="2"/>
  <c r="F32" i="2"/>
  <c r="E32" i="2"/>
  <c r="D32" i="2"/>
  <c r="D113" i="2" s="1"/>
  <c r="D192" i="2" s="1"/>
  <c r="D273" i="2" s="1"/>
  <c r="D354" i="2" s="1"/>
  <c r="C32" i="2"/>
  <c r="C113" i="2" s="1"/>
  <c r="C192" i="2" s="1"/>
  <c r="C273" i="2" s="1"/>
  <c r="C354" i="2" s="1"/>
  <c r="B32" i="2"/>
  <c r="B113" i="2" s="1"/>
  <c r="B192" i="2" s="1"/>
  <c r="B273" i="2" s="1"/>
  <c r="B354" i="2" s="1"/>
  <c r="A32" i="2"/>
  <c r="A113" i="2" s="1"/>
  <c r="A192" i="2" s="1"/>
  <c r="A273" i="2" s="1"/>
  <c r="A354" i="2" s="1"/>
  <c r="J31" i="2"/>
  <c r="J60" i="2" s="1"/>
  <c r="J85" i="2" s="1"/>
  <c r="J112" i="2" s="1"/>
  <c r="J140" i="2" s="1"/>
  <c r="J164" i="2" s="1"/>
  <c r="J191" i="2" s="1"/>
  <c r="J220" i="2" s="1"/>
  <c r="J245" i="2" s="1"/>
  <c r="J272" i="2" s="1"/>
  <c r="J302" i="2" s="1"/>
  <c r="J326" i="2" s="1"/>
  <c r="J353" i="2" s="1"/>
  <c r="J382" i="2" s="1"/>
  <c r="I31" i="2"/>
  <c r="I60" i="2" s="1"/>
  <c r="I85" i="2" s="1"/>
  <c r="I112" i="2" s="1"/>
  <c r="I140" i="2" s="1"/>
  <c r="I164" i="2" s="1"/>
  <c r="I191" i="2" s="1"/>
  <c r="I220" i="2" s="1"/>
  <c r="I245" i="2" s="1"/>
  <c r="I272" i="2" s="1"/>
  <c r="I302" i="2" s="1"/>
  <c r="I326" i="2" s="1"/>
  <c r="I353" i="2" s="1"/>
  <c r="I382" i="2" s="1"/>
  <c r="H31" i="2"/>
  <c r="H60" i="2" s="1"/>
  <c r="H85" i="2" s="1"/>
  <c r="H112" i="2" s="1"/>
  <c r="H140" i="2" s="1"/>
  <c r="H164" i="2" s="1"/>
  <c r="H191" i="2" s="1"/>
  <c r="H220" i="2" s="1"/>
  <c r="H245" i="2" s="1"/>
  <c r="H272" i="2" s="1"/>
  <c r="H302" i="2" s="1"/>
  <c r="H326" i="2" s="1"/>
  <c r="H353" i="2" s="1"/>
  <c r="H382" i="2" s="1"/>
  <c r="G31" i="2"/>
  <c r="G60" i="2" s="1"/>
  <c r="G85" i="2" s="1"/>
  <c r="G112" i="2" s="1"/>
  <c r="G140" i="2" s="1"/>
  <c r="G164" i="2" s="1"/>
  <c r="G191" i="2" s="1"/>
  <c r="G220" i="2" s="1"/>
  <c r="G245" i="2" s="1"/>
  <c r="G272" i="2" s="1"/>
  <c r="G302" i="2" s="1"/>
  <c r="G326" i="2" s="1"/>
  <c r="G353" i="2" s="1"/>
  <c r="G382" i="2" s="1"/>
  <c r="F31" i="2"/>
  <c r="F60" i="2" s="1"/>
  <c r="F85" i="2" s="1"/>
  <c r="F112" i="2" s="1"/>
  <c r="F140" i="2" s="1"/>
  <c r="F164" i="2" s="1"/>
  <c r="F191" i="2" s="1"/>
  <c r="F220" i="2" s="1"/>
  <c r="F245" i="2" s="1"/>
  <c r="F272" i="2" s="1"/>
  <c r="F302" i="2" s="1"/>
  <c r="F326" i="2" s="1"/>
  <c r="F353" i="2" s="1"/>
  <c r="F382" i="2" s="1"/>
  <c r="E31" i="2"/>
  <c r="E60" i="2" s="1"/>
  <c r="E85" i="2" s="1"/>
  <c r="E112" i="2" s="1"/>
  <c r="E140" i="2" s="1"/>
  <c r="E164" i="2" s="1"/>
  <c r="E191" i="2" s="1"/>
  <c r="E220" i="2" s="1"/>
  <c r="E245" i="2" s="1"/>
  <c r="E272" i="2" s="1"/>
  <c r="E302" i="2" s="1"/>
  <c r="E326" i="2" s="1"/>
  <c r="E353" i="2" s="1"/>
  <c r="E382" i="2" s="1"/>
  <c r="D31" i="2"/>
  <c r="D60" i="2" s="1"/>
  <c r="D85" i="2" s="1"/>
  <c r="D112" i="2" s="1"/>
  <c r="D140" i="2" s="1"/>
  <c r="D164" i="2" s="1"/>
  <c r="D191" i="2" s="1"/>
  <c r="D220" i="2" s="1"/>
  <c r="D245" i="2" s="1"/>
  <c r="D272" i="2" s="1"/>
  <c r="D302" i="2" s="1"/>
  <c r="D326" i="2" s="1"/>
  <c r="D353" i="2" s="1"/>
  <c r="D382" i="2" s="1"/>
  <c r="A30" i="2"/>
  <c r="A29" i="2"/>
  <c r="A58" i="2" s="1"/>
  <c r="A83" i="2" s="1"/>
  <c r="A110" i="2" s="1"/>
  <c r="A138" i="2" s="1"/>
  <c r="A162" i="2" s="1"/>
  <c r="A189" i="2" s="1"/>
  <c r="A218" i="2" s="1"/>
  <c r="A243" i="2" s="1"/>
  <c r="A270" i="2" s="1"/>
  <c r="A300" i="2" s="1"/>
  <c r="A324" i="2" s="1"/>
  <c r="A351" i="2" s="1"/>
  <c r="A380" i="2" s="1"/>
  <c r="A28" i="2"/>
  <c r="A57" i="2" s="1"/>
  <c r="A82" i="2" s="1"/>
  <c r="A109" i="2" s="1"/>
  <c r="A137" i="2" s="1"/>
  <c r="A161" i="2" s="1"/>
  <c r="A188" i="2" s="1"/>
  <c r="A217" i="2" s="1"/>
  <c r="A242" i="2" s="1"/>
  <c r="A269" i="2" s="1"/>
  <c r="A299" i="2" s="1"/>
  <c r="A323" i="2" s="1"/>
  <c r="A350" i="2" s="1"/>
  <c r="A379" i="2" s="1"/>
  <c r="J26" i="2"/>
  <c r="I26" i="2"/>
  <c r="H26" i="2"/>
  <c r="G26" i="2"/>
  <c r="F26" i="2"/>
  <c r="E26" i="2"/>
  <c r="D26" i="2"/>
  <c r="D107" i="2" s="1"/>
  <c r="D186" i="2" s="1"/>
  <c r="D267" i="2" s="1"/>
  <c r="D348" i="2" s="1"/>
  <c r="C26" i="2"/>
  <c r="C107" i="2" s="1"/>
  <c r="C186" i="2" s="1"/>
  <c r="C267" i="2" s="1"/>
  <c r="C348" i="2" s="1"/>
  <c r="B26" i="2"/>
  <c r="B107" i="2" s="1"/>
  <c r="B186" i="2" s="1"/>
  <c r="B267" i="2" s="1"/>
  <c r="B348" i="2" s="1"/>
  <c r="A26" i="2"/>
  <c r="A107" i="2" s="1"/>
  <c r="A186" i="2" s="1"/>
  <c r="A267" i="2" s="1"/>
  <c r="A348" i="2" s="1"/>
  <c r="J25" i="2"/>
  <c r="I25" i="2"/>
  <c r="H25" i="2"/>
  <c r="G25" i="2"/>
  <c r="F25" i="2"/>
  <c r="E25" i="2"/>
  <c r="D25" i="2"/>
  <c r="D106" i="2" s="1"/>
  <c r="D185" i="2" s="1"/>
  <c r="D266" i="2" s="1"/>
  <c r="D347" i="2" s="1"/>
  <c r="C25" i="2"/>
  <c r="C106" i="2" s="1"/>
  <c r="C185" i="2" s="1"/>
  <c r="C266" i="2" s="1"/>
  <c r="C347" i="2" s="1"/>
  <c r="B25" i="2"/>
  <c r="B106" i="2" s="1"/>
  <c r="B185" i="2" s="1"/>
  <c r="B266" i="2" s="1"/>
  <c r="B347" i="2" s="1"/>
  <c r="A25" i="2"/>
  <c r="A106" i="2" s="1"/>
  <c r="A185" i="2" s="1"/>
  <c r="A266" i="2" s="1"/>
  <c r="A347" i="2" s="1"/>
  <c r="J24" i="2"/>
  <c r="I24" i="2"/>
  <c r="H24" i="2"/>
  <c r="G24" i="2"/>
  <c r="F24" i="2"/>
  <c r="E24" i="2"/>
  <c r="D24" i="2"/>
  <c r="D105" i="2" s="1"/>
  <c r="D184" i="2" s="1"/>
  <c r="D265" i="2" s="1"/>
  <c r="D346" i="2" s="1"/>
  <c r="C24" i="2"/>
  <c r="C105" i="2" s="1"/>
  <c r="C184" i="2" s="1"/>
  <c r="C265" i="2" s="1"/>
  <c r="C346" i="2" s="1"/>
  <c r="B24" i="2"/>
  <c r="B105" i="2" s="1"/>
  <c r="B184" i="2" s="1"/>
  <c r="B265" i="2" s="1"/>
  <c r="B346" i="2" s="1"/>
  <c r="A24" i="2"/>
  <c r="A105" i="2" s="1"/>
  <c r="A184" i="2" s="1"/>
  <c r="A265" i="2" s="1"/>
  <c r="A346" i="2" s="1"/>
  <c r="J23" i="2"/>
  <c r="I23" i="2"/>
  <c r="H23" i="2"/>
  <c r="G23" i="2"/>
  <c r="F23" i="2"/>
  <c r="E23" i="2"/>
  <c r="D23" i="2"/>
  <c r="D104" i="2" s="1"/>
  <c r="D183" i="2" s="1"/>
  <c r="D264" i="2" s="1"/>
  <c r="D345" i="2" s="1"/>
  <c r="C23" i="2"/>
  <c r="C104" i="2" s="1"/>
  <c r="C183" i="2" s="1"/>
  <c r="C264" i="2" s="1"/>
  <c r="C345" i="2" s="1"/>
  <c r="B23" i="2"/>
  <c r="B104" i="2" s="1"/>
  <c r="B183" i="2" s="1"/>
  <c r="B264" i="2" s="1"/>
  <c r="B345" i="2" s="1"/>
  <c r="A23" i="2"/>
  <c r="A104" i="2" s="1"/>
  <c r="A183" i="2" s="1"/>
  <c r="A264" i="2" s="1"/>
  <c r="A345" i="2" s="1"/>
  <c r="J22" i="2"/>
  <c r="I22" i="2"/>
  <c r="H22" i="2"/>
  <c r="G22" i="2"/>
  <c r="F22" i="2"/>
  <c r="E22" i="2"/>
  <c r="D22" i="2"/>
  <c r="D103" i="2" s="1"/>
  <c r="D182" i="2" s="1"/>
  <c r="D263" i="2" s="1"/>
  <c r="D344" i="2" s="1"/>
  <c r="C22" i="2"/>
  <c r="C103" i="2" s="1"/>
  <c r="C182" i="2" s="1"/>
  <c r="C263" i="2" s="1"/>
  <c r="C344" i="2" s="1"/>
  <c r="B22" i="2"/>
  <c r="B103" i="2" s="1"/>
  <c r="B182" i="2" s="1"/>
  <c r="B263" i="2" s="1"/>
  <c r="B344" i="2" s="1"/>
  <c r="A22" i="2"/>
  <c r="A103" i="2" s="1"/>
  <c r="A182" i="2" s="1"/>
  <c r="A263" i="2" s="1"/>
  <c r="A344" i="2" s="1"/>
  <c r="J21" i="2"/>
  <c r="I21" i="2"/>
  <c r="H21" i="2"/>
  <c r="G21" i="2"/>
  <c r="F21" i="2"/>
  <c r="E21" i="2"/>
  <c r="D21" i="2"/>
  <c r="D102" i="2" s="1"/>
  <c r="D181" i="2" s="1"/>
  <c r="D262" i="2" s="1"/>
  <c r="D343" i="2" s="1"/>
  <c r="C21" i="2"/>
  <c r="C102" i="2" s="1"/>
  <c r="C181" i="2" s="1"/>
  <c r="C262" i="2" s="1"/>
  <c r="C343" i="2" s="1"/>
  <c r="B21" i="2"/>
  <c r="B102" i="2" s="1"/>
  <c r="B181" i="2" s="1"/>
  <c r="B262" i="2" s="1"/>
  <c r="B343" i="2" s="1"/>
  <c r="A21" i="2"/>
  <c r="A102" i="2" s="1"/>
  <c r="A181" i="2" s="1"/>
  <c r="A262" i="2" s="1"/>
  <c r="A343" i="2" s="1"/>
  <c r="J20" i="2"/>
  <c r="I20" i="2"/>
  <c r="H20" i="2"/>
  <c r="G20" i="2"/>
  <c r="F20" i="2"/>
  <c r="E20" i="2"/>
  <c r="D20" i="2"/>
  <c r="D101" i="2" s="1"/>
  <c r="D180" i="2" s="1"/>
  <c r="D261" i="2" s="1"/>
  <c r="D342" i="2" s="1"/>
  <c r="C20" i="2"/>
  <c r="C101" i="2" s="1"/>
  <c r="C180" i="2" s="1"/>
  <c r="C261" i="2" s="1"/>
  <c r="C342" i="2" s="1"/>
  <c r="B20" i="2"/>
  <c r="B101" i="2" s="1"/>
  <c r="B180" i="2" s="1"/>
  <c r="B261" i="2" s="1"/>
  <c r="B342" i="2" s="1"/>
  <c r="A20" i="2"/>
  <c r="A101" i="2" s="1"/>
  <c r="A180" i="2" s="1"/>
  <c r="A261" i="2" s="1"/>
  <c r="A342" i="2" s="1"/>
  <c r="J19" i="2"/>
  <c r="I19" i="2"/>
  <c r="H19" i="2"/>
  <c r="G19" i="2"/>
  <c r="F19" i="2"/>
  <c r="E19" i="2"/>
  <c r="D19" i="2"/>
  <c r="D100" i="2" s="1"/>
  <c r="D179" i="2" s="1"/>
  <c r="D260" i="2" s="1"/>
  <c r="D341" i="2" s="1"/>
  <c r="C19" i="2"/>
  <c r="C100" i="2" s="1"/>
  <c r="C179" i="2" s="1"/>
  <c r="C260" i="2" s="1"/>
  <c r="C341" i="2" s="1"/>
  <c r="B19" i="2"/>
  <c r="B100" i="2" s="1"/>
  <c r="B179" i="2" s="1"/>
  <c r="B260" i="2" s="1"/>
  <c r="B341" i="2" s="1"/>
  <c r="A19" i="2"/>
  <c r="A100" i="2" s="1"/>
  <c r="A179" i="2" s="1"/>
  <c r="A260" i="2" s="1"/>
  <c r="A341" i="2" s="1"/>
  <c r="J18" i="2"/>
  <c r="I18" i="2"/>
  <c r="H18" i="2"/>
  <c r="G18" i="2"/>
  <c r="F18" i="2"/>
  <c r="E18" i="2"/>
  <c r="D18" i="2"/>
  <c r="D99" i="2" s="1"/>
  <c r="D178" i="2" s="1"/>
  <c r="D259" i="2" s="1"/>
  <c r="D340" i="2" s="1"/>
  <c r="C18" i="2"/>
  <c r="C99" i="2" s="1"/>
  <c r="C178" i="2" s="1"/>
  <c r="C259" i="2" s="1"/>
  <c r="C340" i="2" s="1"/>
  <c r="B18" i="2"/>
  <c r="B99" i="2" s="1"/>
  <c r="B178" i="2" s="1"/>
  <c r="B259" i="2" s="1"/>
  <c r="B340" i="2" s="1"/>
  <c r="A18" i="2"/>
  <c r="A99" i="2" s="1"/>
  <c r="A178" i="2" s="1"/>
  <c r="A259" i="2" s="1"/>
  <c r="A340" i="2" s="1"/>
  <c r="J17" i="2"/>
  <c r="I17" i="2"/>
  <c r="H17" i="2"/>
  <c r="G17" i="2"/>
  <c r="F17" i="2"/>
  <c r="E17" i="2"/>
  <c r="D17" i="2"/>
  <c r="D98" i="2" s="1"/>
  <c r="D177" i="2" s="1"/>
  <c r="D258" i="2" s="1"/>
  <c r="D339" i="2" s="1"/>
  <c r="C17" i="2"/>
  <c r="C98" i="2" s="1"/>
  <c r="C177" i="2" s="1"/>
  <c r="C258" i="2" s="1"/>
  <c r="C339" i="2" s="1"/>
  <c r="B17" i="2"/>
  <c r="B98" i="2" s="1"/>
  <c r="B177" i="2" s="1"/>
  <c r="B258" i="2" s="1"/>
  <c r="B339" i="2" s="1"/>
  <c r="A17" i="2"/>
  <c r="A98" i="2" s="1"/>
  <c r="A177" i="2" s="1"/>
  <c r="A258" i="2" s="1"/>
  <c r="A339" i="2" s="1"/>
  <c r="J16" i="2"/>
  <c r="I16" i="2"/>
  <c r="H16" i="2"/>
  <c r="G16" i="2"/>
  <c r="F16" i="2"/>
  <c r="E16" i="2"/>
  <c r="D16" i="2"/>
  <c r="D97" i="2" s="1"/>
  <c r="D176" i="2" s="1"/>
  <c r="D257" i="2" s="1"/>
  <c r="D338" i="2" s="1"/>
  <c r="C16" i="2"/>
  <c r="C97" i="2" s="1"/>
  <c r="C176" i="2" s="1"/>
  <c r="C257" i="2" s="1"/>
  <c r="C338" i="2" s="1"/>
  <c r="B16" i="2"/>
  <c r="B97" i="2" s="1"/>
  <c r="B176" i="2" s="1"/>
  <c r="B257" i="2" s="1"/>
  <c r="B338" i="2" s="1"/>
  <c r="A16" i="2"/>
  <c r="A97" i="2" s="1"/>
  <c r="A176" i="2" s="1"/>
  <c r="A257" i="2" s="1"/>
  <c r="A338" i="2" s="1"/>
  <c r="J15" i="2"/>
  <c r="I15" i="2"/>
  <c r="H15" i="2"/>
  <c r="G15" i="2"/>
  <c r="F15" i="2"/>
  <c r="E15" i="2"/>
  <c r="D15" i="2"/>
  <c r="D96" i="2" s="1"/>
  <c r="D175" i="2" s="1"/>
  <c r="D256" i="2" s="1"/>
  <c r="D337" i="2" s="1"/>
  <c r="C15" i="2"/>
  <c r="C96" i="2" s="1"/>
  <c r="C175" i="2" s="1"/>
  <c r="C256" i="2" s="1"/>
  <c r="C337" i="2" s="1"/>
  <c r="B15" i="2"/>
  <c r="B96" i="2" s="1"/>
  <c r="B175" i="2" s="1"/>
  <c r="B256" i="2" s="1"/>
  <c r="B337" i="2" s="1"/>
  <c r="A15" i="2"/>
  <c r="A96" i="2" s="1"/>
  <c r="A175" i="2" s="1"/>
  <c r="A256" i="2" s="1"/>
  <c r="A337" i="2" s="1"/>
  <c r="J14" i="2"/>
  <c r="I14" i="2"/>
  <c r="H14" i="2"/>
  <c r="G14" i="2"/>
  <c r="F14" i="2"/>
  <c r="E14" i="2"/>
  <c r="D14" i="2"/>
  <c r="D95" i="2" s="1"/>
  <c r="D174" i="2" s="1"/>
  <c r="D255" i="2" s="1"/>
  <c r="D336" i="2" s="1"/>
  <c r="C14" i="2"/>
  <c r="C95" i="2" s="1"/>
  <c r="C174" i="2" s="1"/>
  <c r="C255" i="2" s="1"/>
  <c r="C336" i="2" s="1"/>
  <c r="B14" i="2"/>
  <c r="B95" i="2" s="1"/>
  <c r="B174" i="2" s="1"/>
  <c r="B255" i="2" s="1"/>
  <c r="B336" i="2" s="1"/>
  <c r="A14" i="2"/>
  <c r="A95" i="2" s="1"/>
  <c r="A174" i="2" s="1"/>
  <c r="A255" i="2" s="1"/>
  <c r="A336" i="2" s="1"/>
  <c r="J13" i="2"/>
  <c r="I13" i="2"/>
  <c r="H13" i="2"/>
  <c r="G13" i="2"/>
  <c r="F13" i="2"/>
  <c r="E13" i="2"/>
  <c r="D13" i="2"/>
  <c r="D94" i="2" s="1"/>
  <c r="D173" i="2" s="1"/>
  <c r="D254" i="2" s="1"/>
  <c r="D335" i="2" s="1"/>
  <c r="C13" i="2"/>
  <c r="C94" i="2" s="1"/>
  <c r="C173" i="2" s="1"/>
  <c r="C254" i="2" s="1"/>
  <c r="C335" i="2" s="1"/>
  <c r="B13" i="2"/>
  <c r="B94" i="2" s="1"/>
  <c r="B173" i="2" s="1"/>
  <c r="B254" i="2" s="1"/>
  <c r="B335" i="2" s="1"/>
  <c r="A13" i="2"/>
  <c r="A94" i="2" s="1"/>
  <c r="A173" i="2" s="1"/>
  <c r="A254" i="2" s="1"/>
  <c r="A335" i="2" s="1"/>
  <c r="J12" i="2"/>
  <c r="I12" i="2"/>
  <c r="H12" i="2"/>
  <c r="G12" i="2"/>
  <c r="F12" i="2"/>
  <c r="E12" i="2"/>
  <c r="D12" i="2"/>
  <c r="D93" i="2" s="1"/>
  <c r="D172" i="2" s="1"/>
  <c r="D253" i="2" s="1"/>
  <c r="D334" i="2" s="1"/>
  <c r="C12" i="2"/>
  <c r="C93" i="2" s="1"/>
  <c r="C172" i="2" s="1"/>
  <c r="C253" i="2" s="1"/>
  <c r="C334" i="2" s="1"/>
  <c r="B12" i="2"/>
  <c r="B93" i="2" s="1"/>
  <c r="B172" i="2" s="1"/>
  <c r="B253" i="2" s="1"/>
  <c r="B334" i="2" s="1"/>
  <c r="A12" i="2"/>
  <c r="A93" i="2" s="1"/>
  <c r="A172" i="2" s="1"/>
  <c r="A253" i="2" s="1"/>
  <c r="A334" i="2" s="1"/>
  <c r="J11" i="2"/>
  <c r="I11" i="2"/>
  <c r="H11" i="2"/>
  <c r="G11" i="2"/>
  <c r="F11" i="2"/>
  <c r="E11" i="2"/>
  <c r="D11" i="2"/>
  <c r="D92" i="2" s="1"/>
  <c r="D171" i="2" s="1"/>
  <c r="D252" i="2" s="1"/>
  <c r="D333" i="2" s="1"/>
  <c r="C11" i="2"/>
  <c r="C92" i="2" s="1"/>
  <c r="C171" i="2" s="1"/>
  <c r="C252" i="2" s="1"/>
  <c r="C333" i="2" s="1"/>
  <c r="B11" i="2"/>
  <c r="B92" i="2" s="1"/>
  <c r="B171" i="2" s="1"/>
  <c r="B252" i="2" s="1"/>
  <c r="B333" i="2" s="1"/>
  <c r="A11" i="2"/>
  <c r="A92" i="2" s="1"/>
  <c r="A171" i="2" s="1"/>
  <c r="A252" i="2" s="1"/>
  <c r="A333" i="2" s="1"/>
  <c r="J10" i="2"/>
  <c r="I10" i="2"/>
  <c r="H10" i="2"/>
  <c r="G10" i="2"/>
  <c r="F10" i="2"/>
  <c r="E10" i="2"/>
  <c r="D10" i="2"/>
  <c r="D91" i="2" s="1"/>
  <c r="D170" i="2" s="1"/>
  <c r="D251" i="2" s="1"/>
  <c r="D332" i="2" s="1"/>
  <c r="C10" i="2"/>
  <c r="C91" i="2" s="1"/>
  <c r="C170" i="2" s="1"/>
  <c r="C251" i="2" s="1"/>
  <c r="C332" i="2" s="1"/>
  <c r="B10" i="2"/>
  <c r="B91" i="2" s="1"/>
  <c r="B170" i="2" s="1"/>
  <c r="B251" i="2" s="1"/>
  <c r="B332" i="2" s="1"/>
  <c r="A10" i="2"/>
  <c r="A91" i="2" s="1"/>
  <c r="A170" i="2" s="1"/>
  <c r="A251" i="2" s="1"/>
  <c r="A332" i="2" s="1"/>
  <c r="J9" i="2"/>
  <c r="D90" i="2"/>
  <c r="D169" i="2" s="1"/>
  <c r="D250" i="2" s="1"/>
  <c r="D331" i="2" s="1"/>
  <c r="C90" i="2"/>
  <c r="C169" i="2" s="1"/>
  <c r="C250" i="2" s="1"/>
  <c r="C331" i="2" s="1"/>
  <c r="B90" i="2"/>
  <c r="B169" i="2" s="1"/>
  <c r="B250" i="2" s="1"/>
  <c r="B331" i="2" s="1"/>
  <c r="A9" i="2"/>
  <c r="A90" i="2" s="1"/>
  <c r="A169" i="2" s="1"/>
  <c r="A250" i="2" s="1"/>
  <c r="A331" i="2" s="1"/>
  <c r="J8" i="2"/>
  <c r="D89" i="2"/>
  <c r="D168" i="2" s="1"/>
  <c r="D249" i="2" s="1"/>
  <c r="D330" i="2" s="1"/>
  <c r="C89" i="2"/>
  <c r="C168" i="2" s="1"/>
  <c r="C249" i="2" s="1"/>
  <c r="C330" i="2" s="1"/>
  <c r="B89" i="2"/>
  <c r="B168" i="2" s="1"/>
  <c r="B249" i="2" s="1"/>
  <c r="B330" i="2" s="1"/>
  <c r="A8" i="2"/>
  <c r="A89" i="2" s="1"/>
  <c r="A168" i="2" s="1"/>
  <c r="A249" i="2" s="1"/>
  <c r="A330" i="2" s="1"/>
  <c r="J7" i="2"/>
  <c r="D88" i="2"/>
  <c r="D167" i="2" s="1"/>
  <c r="D248" i="2" s="1"/>
  <c r="D329" i="2" s="1"/>
  <c r="C88" i="2"/>
  <c r="C167" i="2" s="1"/>
  <c r="C248" i="2" s="1"/>
  <c r="C329" i="2" s="1"/>
  <c r="B88" i="2"/>
  <c r="B167" i="2" s="1"/>
  <c r="B248" i="2" s="1"/>
  <c r="B329" i="2" s="1"/>
  <c r="A7" i="2"/>
  <c r="A88" i="2" s="1"/>
  <c r="A167" i="2" s="1"/>
  <c r="A248" i="2" s="1"/>
  <c r="A329" i="2" s="1"/>
  <c r="J6" i="2"/>
  <c r="D87" i="2"/>
  <c r="D166" i="2" s="1"/>
  <c r="D247" i="2" s="1"/>
  <c r="D328" i="2" s="1"/>
  <c r="C87" i="2"/>
  <c r="C166" i="2" s="1"/>
  <c r="C247" i="2" s="1"/>
  <c r="C328" i="2" s="1"/>
  <c r="B87" i="2"/>
  <c r="B166" i="2" s="1"/>
  <c r="B247" i="2" s="1"/>
  <c r="B328" i="2" s="1"/>
  <c r="A6" i="2"/>
  <c r="A87" i="2" s="1"/>
  <c r="A166" i="2" s="1"/>
  <c r="A247" i="2" s="1"/>
  <c r="A328" i="2" s="1"/>
  <c r="J5" i="2"/>
  <c r="D165" i="2"/>
  <c r="D246" i="2" s="1"/>
  <c r="D327" i="2" s="1"/>
  <c r="C165" i="2"/>
  <c r="C246" i="2" s="1"/>
  <c r="C327" i="2" s="1"/>
  <c r="B165" i="2"/>
  <c r="B246" i="2" s="1"/>
  <c r="B327" i="2" s="1"/>
  <c r="A5" i="2"/>
  <c r="A86" i="2" s="1"/>
  <c r="A165" i="2" s="1"/>
  <c r="A246" i="2" s="1"/>
  <c r="A327" i="2" s="1"/>
  <c r="C4" i="2"/>
  <c r="C31" i="2" s="1"/>
  <c r="C60" i="2" s="1"/>
  <c r="C85" i="2" s="1"/>
  <c r="C112" i="2" s="1"/>
  <c r="C140" i="2" s="1"/>
  <c r="C164" i="2" s="1"/>
  <c r="C191" i="2" s="1"/>
  <c r="C220" i="2" s="1"/>
  <c r="C245" i="2" s="1"/>
  <c r="C272" i="2" s="1"/>
  <c r="C302" i="2" s="1"/>
  <c r="C326" i="2" s="1"/>
  <c r="C353" i="2" s="1"/>
  <c r="C382" i="2" s="1"/>
  <c r="B4" i="2"/>
  <c r="B31" i="2" s="1"/>
  <c r="B60" i="2" s="1"/>
  <c r="B85" i="2" s="1"/>
  <c r="B112" i="2" s="1"/>
  <c r="B140" i="2" s="1"/>
  <c r="B164" i="2" s="1"/>
  <c r="B191" i="2" s="1"/>
  <c r="B220" i="2" s="1"/>
  <c r="B245" i="2" s="1"/>
  <c r="B272" i="2" s="1"/>
  <c r="B302" i="2" s="1"/>
  <c r="B326" i="2" s="1"/>
  <c r="B353" i="2" s="1"/>
  <c r="B382" i="2" s="1"/>
  <c r="A4" i="2"/>
  <c r="A31" i="2" s="1"/>
  <c r="A60" i="2" s="1"/>
  <c r="A85" i="2" s="1"/>
  <c r="A112" i="2" s="1"/>
  <c r="A140" i="2" s="1"/>
  <c r="A164" i="2" s="1"/>
  <c r="A191" i="2" s="1"/>
  <c r="A220" i="2" s="1"/>
  <c r="A245" i="2" s="1"/>
  <c r="A272" i="2" s="1"/>
  <c r="A302" i="2" s="1"/>
  <c r="A326" i="2" s="1"/>
  <c r="A353" i="2" s="1"/>
  <c r="A382" i="2" s="1"/>
  <c r="G3" i="2"/>
  <c r="G30" i="2" s="1"/>
  <c r="G59" i="2" s="1"/>
  <c r="G84" i="2" s="1"/>
  <c r="G111" i="2" s="1"/>
  <c r="G139" i="2" s="1"/>
  <c r="G163" i="2" s="1"/>
  <c r="G190" i="2" s="1"/>
  <c r="G219" i="2" s="1"/>
  <c r="G244" i="2" s="1"/>
  <c r="G271" i="2" s="1"/>
  <c r="G301" i="2" s="1"/>
  <c r="G325" i="2" s="1"/>
  <c r="G352" i="2" s="1"/>
  <c r="G381" i="2" s="1"/>
  <c r="D3" i="2"/>
  <c r="D30" i="2" s="1"/>
  <c r="D59" i="2" s="1"/>
  <c r="B134" i="2" l="1"/>
  <c r="B214" i="2" s="1"/>
  <c r="B294" i="2" s="1"/>
  <c r="B376" i="2" s="1"/>
  <c r="D134" i="2"/>
  <c r="D214" i="2" s="1"/>
  <c r="D294" i="2" s="1"/>
  <c r="D376" i="2" s="1"/>
  <c r="B135" i="2"/>
  <c r="B215" i="2" s="1"/>
  <c r="B295" i="2" s="1"/>
  <c r="B377" i="2" s="1"/>
  <c r="D135" i="2"/>
  <c r="D215" i="2" s="1"/>
  <c r="D295" i="2" s="1"/>
  <c r="D377" i="2" s="1"/>
  <c r="A275" i="2"/>
  <c r="A356" i="2" s="1"/>
  <c r="C206" i="2"/>
  <c r="C286" i="2" s="1"/>
  <c r="C368" i="2" s="1"/>
  <c r="D206" i="2"/>
  <c r="D286" i="2" s="1"/>
  <c r="D368" i="2" s="1"/>
  <c r="D205" i="2"/>
  <c r="C207" i="2"/>
  <c r="C287" i="2" s="1"/>
  <c r="C369" i="2" s="1"/>
  <c r="C208" i="2"/>
  <c r="C288" i="2" s="1"/>
  <c r="C370" i="2" s="1"/>
  <c r="C209" i="2"/>
  <c r="C289" i="2" s="1"/>
  <c r="C371" i="2" s="1"/>
  <c r="C210" i="2"/>
  <c r="C290" i="2" s="1"/>
  <c r="C372" i="2" s="1"/>
  <c r="C211" i="2"/>
  <c r="C291" i="2" s="1"/>
  <c r="C373" i="2" s="1"/>
  <c r="C214" i="2"/>
  <c r="C294" i="2" s="1"/>
  <c r="C376" i="2" s="1"/>
  <c r="C215" i="2"/>
  <c r="C295" i="2" s="1"/>
  <c r="C377" i="2" s="1"/>
  <c r="C212" i="2"/>
  <c r="C292" i="2" s="1"/>
  <c r="C374" i="2" s="1"/>
  <c r="A84" i="2"/>
  <c r="A111" i="2" s="1"/>
  <c r="A139" i="2" s="1"/>
  <c r="A163" i="2" s="1"/>
  <c r="A190" i="2" s="1"/>
  <c r="A219" i="2" s="1"/>
  <c r="A244" i="2" s="1"/>
  <c r="A271" i="2" s="1"/>
  <c r="A301" i="2" s="1"/>
  <c r="A325" i="2" s="1"/>
  <c r="A352" i="2" s="1"/>
  <c r="A381" i="2" s="1"/>
  <c r="A59" i="2"/>
</calcChain>
</file>

<file path=xl/sharedStrings.xml><?xml version="1.0" encoding="utf-8"?>
<sst xmlns="http://schemas.openxmlformats.org/spreadsheetml/2006/main" count="718" uniqueCount="237">
  <si>
    <t>REGISTRO DIARIO DE INCIDENCIAS</t>
  </si>
  <si>
    <t>PERIODO ENERO- ABRIL 2026</t>
  </si>
  <si>
    <t>TURNOS: VESP Y NOCTURNO</t>
  </si>
  <si>
    <t>Op</t>
  </si>
  <si>
    <t>16:00</t>
  </si>
  <si>
    <t>17:00</t>
  </si>
  <si>
    <t>18:00</t>
  </si>
  <si>
    <t>19:00</t>
  </si>
  <si>
    <t>20:00</t>
  </si>
  <si>
    <t>21:00</t>
  </si>
  <si>
    <t xml:space="preserve"> </t>
  </si>
  <si>
    <t>Aula</t>
  </si>
  <si>
    <t>Gpo.</t>
  </si>
  <si>
    <t>Licenciatura</t>
  </si>
  <si>
    <t>Opt</t>
  </si>
  <si>
    <t>Lunes</t>
  </si>
  <si>
    <t>Martes</t>
  </si>
  <si>
    <t>Miércoles</t>
  </si>
  <si>
    <t>Jueves</t>
  </si>
  <si>
    <t>a</t>
  </si>
  <si>
    <t>4:00</t>
  </si>
  <si>
    <t>5:00</t>
  </si>
  <si>
    <t>6:00</t>
  </si>
  <si>
    <t>7:00</t>
  </si>
  <si>
    <t>8:00</t>
  </si>
  <si>
    <t>9:00</t>
  </si>
  <si>
    <t>CC1</t>
  </si>
  <si>
    <t>CC2</t>
  </si>
  <si>
    <t>A161</t>
  </si>
  <si>
    <t>A182</t>
  </si>
  <si>
    <t>CC3</t>
  </si>
  <si>
    <t>A97</t>
  </si>
  <si>
    <t>A242</t>
  </si>
  <si>
    <t>CC4</t>
  </si>
  <si>
    <t>A99</t>
  </si>
  <si>
    <t>1228 CC</t>
  </si>
  <si>
    <t>CC5</t>
  </si>
  <si>
    <t>421-13/521-14</t>
  </si>
  <si>
    <t>Psicologia</t>
  </si>
  <si>
    <t>11DV, 8AN, 5BN</t>
  </si>
  <si>
    <t>A133</t>
  </si>
  <si>
    <t>A234</t>
  </si>
  <si>
    <t>A262</t>
  </si>
  <si>
    <t>721-8-821-9</t>
  </si>
  <si>
    <t>A121</t>
  </si>
  <si>
    <t>634 CC</t>
  </si>
  <si>
    <t>Compu</t>
  </si>
  <si>
    <t>390 CC</t>
  </si>
  <si>
    <t>436 CC</t>
  </si>
  <si>
    <t>A263</t>
  </si>
  <si>
    <t>A161 CC</t>
  </si>
  <si>
    <t>1567 S 102</t>
  </si>
  <si>
    <t>CCIG</t>
  </si>
  <si>
    <t>221-14</t>
  </si>
  <si>
    <t>8CN</t>
  </si>
  <si>
    <t>A114</t>
  </si>
  <si>
    <t>A158</t>
  </si>
  <si>
    <t>1567 S 315</t>
  </si>
  <si>
    <t>1031-13/1131-14</t>
  </si>
  <si>
    <t>531-14</t>
  </si>
  <si>
    <t>FINANZAS</t>
  </si>
  <si>
    <t>S 003</t>
  </si>
  <si>
    <t>1836 cc</t>
  </si>
  <si>
    <t>A166</t>
  </si>
  <si>
    <t>1836 CC</t>
  </si>
  <si>
    <t>821-14</t>
  </si>
  <si>
    <t>S 103</t>
  </si>
  <si>
    <t>721-8/821-9</t>
  </si>
  <si>
    <t>Civil</t>
  </si>
  <si>
    <t>2BV</t>
  </si>
  <si>
    <t>A145</t>
  </si>
  <si>
    <t>GEVA</t>
  </si>
  <si>
    <t>A43</t>
  </si>
  <si>
    <t>A228</t>
  </si>
  <si>
    <t>A96</t>
  </si>
  <si>
    <t>A238</t>
  </si>
  <si>
    <t>2448 CC</t>
  </si>
  <si>
    <t>821-9</t>
  </si>
  <si>
    <t>Negocios</t>
  </si>
  <si>
    <t>2AV</t>
  </si>
  <si>
    <t>A237</t>
  </si>
  <si>
    <t>A55</t>
  </si>
  <si>
    <t>A36</t>
  </si>
  <si>
    <t>A230</t>
  </si>
  <si>
    <t>221-9</t>
  </si>
  <si>
    <t>5DV</t>
  </si>
  <si>
    <t>2163 S 101</t>
  </si>
  <si>
    <t>2CV</t>
  </si>
  <si>
    <t>A141</t>
  </si>
  <si>
    <t>A136</t>
  </si>
  <si>
    <t>JUPJ</t>
  </si>
  <si>
    <t>A78</t>
  </si>
  <si>
    <t>A200</t>
  </si>
  <si>
    <t>1502 S 103</t>
  </si>
  <si>
    <t>1502 S  103</t>
  </si>
  <si>
    <t>A169</t>
  </si>
  <si>
    <t>1567 S 001</t>
  </si>
  <si>
    <t>521-14</t>
  </si>
  <si>
    <t>8BV, 5CN</t>
  </si>
  <si>
    <t>A183</t>
  </si>
  <si>
    <t>5AV, 8BN</t>
  </si>
  <si>
    <t>1131-14</t>
  </si>
  <si>
    <t>S 101</t>
  </si>
  <si>
    <t>521-9</t>
  </si>
  <si>
    <t>8DV</t>
  </si>
  <si>
    <t>A191</t>
  </si>
  <si>
    <t>A244</t>
  </si>
  <si>
    <t>A198</t>
  </si>
  <si>
    <t>S 201</t>
  </si>
  <si>
    <t>1431-14</t>
  </si>
  <si>
    <t>8AV, 5BV</t>
  </si>
  <si>
    <t>A160</t>
  </si>
  <si>
    <t>1567 S 301</t>
  </si>
  <si>
    <t>831-14</t>
  </si>
  <si>
    <t>S 001</t>
  </si>
  <si>
    <t>731-13/831-14</t>
  </si>
  <si>
    <t>Electro</t>
  </si>
  <si>
    <t>A79</t>
  </si>
  <si>
    <t>1121-14</t>
  </si>
  <si>
    <t>8CV, 2BN</t>
  </si>
  <si>
    <t>Industrial</t>
  </si>
  <si>
    <t>A103</t>
  </si>
  <si>
    <t>231-14</t>
  </si>
  <si>
    <t>634 cc</t>
  </si>
  <si>
    <t>1331-13/1431-14</t>
  </si>
  <si>
    <t>S 218</t>
  </si>
  <si>
    <t>A95</t>
  </si>
  <si>
    <t>S 209</t>
  </si>
  <si>
    <t>2130 CC</t>
  </si>
  <si>
    <t>121-13</t>
  </si>
  <si>
    <t>A231</t>
  </si>
  <si>
    <t>A99 CC</t>
  </si>
  <si>
    <t>1421-14</t>
  </si>
  <si>
    <t>421-8</t>
  </si>
  <si>
    <t>S. 301-A</t>
  </si>
  <si>
    <t>S 301-A</t>
  </si>
  <si>
    <t>1035 CC</t>
  </si>
  <si>
    <t>A38</t>
  </si>
  <si>
    <t>Mecatronica</t>
  </si>
  <si>
    <t>A163</t>
  </si>
  <si>
    <t>A105</t>
  </si>
  <si>
    <t>219-A</t>
  </si>
  <si>
    <t>2453 S 220</t>
  </si>
  <si>
    <t>1094 CC</t>
  </si>
  <si>
    <t>A235</t>
  </si>
  <si>
    <t>A242 CC</t>
  </si>
  <si>
    <t>A68</t>
  </si>
  <si>
    <t xml:space="preserve"> 1228 CC</t>
  </si>
  <si>
    <t>335 CC</t>
  </si>
  <si>
    <t>1517 CC</t>
  </si>
  <si>
    <t>S 208</t>
  </si>
  <si>
    <t>S 102</t>
  </si>
  <si>
    <t>301-A</t>
  </si>
  <si>
    <t>A184</t>
  </si>
  <si>
    <t>A225</t>
  </si>
  <si>
    <t>A89</t>
  </si>
  <si>
    <t>A257</t>
  </si>
  <si>
    <t>11AN</t>
  </si>
  <si>
    <t>A182 CC</t>
  </si>
  <si>
    <t xml:space="preserve">731-13   </t>
  </si>
  <si>
    <t>S. 313</t>
  </si>
  <si>
    <t>S 313</t>
  </si>
  <si>
    <t>309-A</t>
  </si>
  <si>
    <t>S 207</t>
  </si>
  <si>
    <t>1567 S 219</t>
  </si>
  <si>
    <t>431-13/531-14</t>
  </si>
  <si>
    <t>2387 CC</t>
  </si>
  <si>
    <t>5AN</t>
  </si>
  <si>
    <t>S 009</t>
  </si>
  <si>
    <t>1836 211</t>
  </si>
  <si>
    <t>Registro diario de incidencias</t>
  </si>
  <si>
    <t>Periodo  ENERO -ABRIL  2026</t>
  </si>
  <si>
    <t>MATUTINO</t>
  </si>
  <si>
    <t>SALON</t>
  </si>
  <si>
    <t>ING. INDUSTRIAL</t>
  </si>
  <si>
    <t>701-13/801-14</t>
  </si>
  <si>
    <t>ING. ELECTRO</t>
  </si>
  <si>
    <t>A232</t>
  </si>
  <si>
    <t>201-14</t>
  </si>
  <si>
    <t>CC</t>
  </si>
  <si>
    <t>331-13/431-14</t>
  </si>
  <si>
    <t>NEGOCIOS</t>
  </si>
  <si>
    <t>301-13/401-14</t>
  </si>
  <si>
    <t>ING. CIVIL</t>
  </si>
  <si>
    <t>MECATRONICA</t>
  </si>
  <si>
    <t>Observaciones:</t>
  </si>
  <si>
    <t>Viernes</t>
  </si>
  <si>
    <t>1035 Sim</t>
  </si>
  <si>
    <t>990 s201</t>
  </si>
  <si>
    <t>2468 sln02</t>
  </si>
  <si>
    <t>2451 s309A</t>
  </si>
  <si>
    <t>A38cc</t>
  </si>
  <si>
    <t>A163 Taller</t>
  </si>
  <si>
    <t>335cc</t>
  </si>
  <si>
    <t>1228 cc</t>
  </si>
  <si>
    <t>1567 s315</t>
  </si>
  <si>
    <t>A242 cc</t>
  </si>
  <si>
    <t>1246 s219</t>
  </si>
  <si>
    <t>1246 s218</t>
  </si>
  <si>
    <t>1035 sim</t>
  </si>
  <si>
    <t>2409 s207</t>
  </si>
  <si>
    <t>A260</t>
  </si>
  <si>
    <t>2310 s302</t>
  </si>
  <si>
    <t>1035 SIM</t>
  </si>
  <si>
    <t>1836 sl02</t>
  </si>
  <si>
    <t>1836 sln211</t>
  </si>
  <si>
    <t>1602 sln308</t>
  </si>
  <si>
    <t>2543 sln101</t>
  </si>
  <si>
    <t>98 sln218</t>
  </si>
  <si>
    <t>A261</t>
  </si>
  <si>
    <t>2AN</t>
  </si>
  <si>
    <t>8DN</t>
  </si>
  <si>
    <t>A260 S101</t>
  </si>
  <si>
    <t>2476 s306</t>
  </si>
  <si>
    <t>203 Sim</t>
  </si>
  <si>
    <t>A97 CC</t>
  </si>
  <si>
    <t>A38 CC</t>
  </si>
  <si>
    <t>390 cc</t>
  </si>
  <si>
    <t>1094 CC1</t>
  </si>
  <si>
    <t>2468 S002</t>
  </si>
  <si>
    <t>S219</t>
  </si>
  <si>
    <t>1534 CC2</t>
  </si>
  <si>
    <t>2448 CC4</t>
  </si>
  <si>
    <t>1602 S308</t>
  </si>
  <si>
    <t>A38 CC3</t>
  </si>
  <si>
    <t>A97 CC2</t>
  </si>
  <si>
    <t>1567 S102</t>
  </si>
  <si>
    <t xml:space="preserve">SEM 9 LIC </t>
  </si>
  <si>
    <t>A238 CC2</t>
  </si>
  <si>
    <t>634 CC5</t>
  </si>
  <si>
    <t>A96 CC</t>
  </si>
  <si>
    <t>A99 S009</t>
  </si>
  <si>
    <t xml:space="preserve">                    </t>
  </si>
  <si>
    <t>2543 s313</t>
  </si>
  <si>
    <t>A160 s007</t>
  </si>
  <si>
    <t>1534 cc</t>
  </si>
  <si>
    <t>Concentrado General De Catedráticos y Grupos.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</si>
</sst>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A]dddd\,\ dd&quot; de &quot;mmmm&quot; de &quot;yyyy;@"/>
    <numFmt numFmtId="165" formatCode="[$-80A]dddd\ d&quot; de &quot;mmmm&quot; de &quot;yyyy;@"/>
  </numFmts>
  <fonts count="6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Stencil"/>
      <family val="5"/>
    </font>
    <font>
      <b/>
      <sz val="11"/>
      <color theme="1"/>
      <name val="Arial Black"/>
      <family val="2"/>
    </font>
    <font>
      <b/>
      <sz val="9"/>
      <color theme="1"/>
      <name val="Arial Black"/>
      <family val="2"/>
    </font>
    <font>
      <b/>
      <sz val="10"/>
      <color theme="1"/>
      <name val="Arial Black"/>
      <family val="2"/>
    </font>
    <font>
      <b/>
      <sz val="12"/>
      <color theme="1"/>
      <name val="Arial Black"/>
      <family val="2"/>
    </font>
    <font>
      <b/>
      <sz val="8"/>
      <color theme="1"/>
      <name val="Arial Black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Book Antiqua"/>
      <family val="1"/>
    </font>
    <font>
      <b/>
      <sz val="16"/>
      <name val="Monotype Corsiva"/>
      <family val="4"/>
    </font>
    <font>
      <sz val="16"/>
      <name val="Monotype Corsiva"/>
      <family val="4"/>
    </font>
    <font>
      <b/>
      <sz val="14"/>
      <name val="Calibri"/>
      <family val="2"/>
    </font>
    <font>
      <b/>
      <sz val="14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b/>
      <sz val="14"/>
      <color theme="1"/>
      <name val="Calibri"/>
      <family val="2"/>
    </font>
    <font>
      <b/>
      <sz val="12"/>
      <name val="Calibri"/>
      <family val="2"/>
      <scheme val="minor"/>
    </font>
    <font>
      <b/>
      <sz val="12"/>
      <name val="Monotype Corsiva"/>
      <family val="4"/>
    </font>
    <font>
      <sz val="11"/>
      <color rgb="FF006100"/>
      <name val="Calibri"/>
      <family val="2"/>
      <scheme val="minor"/>
    </font>
    <font>
      <sz val="11"/>
      <color theme="1"/>
      <name val="Monotype Corsiva"/>
      <family val="4"/>
    </font>
    <font>
      <b/>
      <u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Monotype Corsiva"/>
      <family val="4"/>
    </font>
    <font>
      <b/>
      <u/>
      <sz val="14"/>
      <color theme="0"/>
      <name val="Calibri"/>
      <family val="2"/>
      <scheme val="minor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b/>
      <u/>
      <sz val="12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name val="Calibri"/>
      <family val="2"/>
    </font>
    <font>
      <b/>
      <i/>
      <sz val="12"/>
      <name val="Calibri"/>
      <family val="2"/>
    </font>
    <font>
      <b/>
      <sz val="18"/>
      <name val="Book Antiqua"/>
      <family val="1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name val="Calibri"/>
      <family val="2"/>
    </font>
    <font>
      <b/>
      <i/>
      <sz val="14"/>
      <color theme="1"/>
      <name val="Calibri"/>
      <family val="2"/>
    </font>
    <font>
      <b/>
      <sz val="14"/>
      <name val="Calibri"/>
      <family val="2"/>
      <scheme val="minor"/>
    </font>
    <font>
      <b/>
      <sz val="16"/>
      <name val="Monotype Corsiva"/>
      <family val="4"/>
    </font>
    <font>
      <b/>
      <sz val="14"/>
      <name val="Calibri"/>
      <family val="2"/>
      <charset val="134"/>
    </font>
    <font>
      <sz val="14"/>
      <name val="Calibri"/>
      <family val="2"/>
    </font>
    <font>
      <u/>
      <sz val="14"/>
      <color theme="1"/>
      <name val="Palatino Linotype"/>
      <family val="1"/>
    </font>
    <font>
      <b/>
      <u/>
      <sz val="14"/>
      <color theme="1"/>
      <name val="Bahnschrift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rgb="FF0000CC"/>
      </left>
      <right style="thin">
        <color rgb="FF0000CC"/>
      </right>
      <top style="thin">
        <color rgb="FF0000CC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n">
        <color rgb="FF0000CC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rgb="FFFF0000"/>
      </top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ck">
        <color rgb="FFFF0000"/>
      </top>
      <bottom style="thin">
        <color auto="1"/>
      </bottom>
      <diagonal/>
    </border>
    <border>
      <left/>
      <right style="thin">
        <color auto="1"/>
      </right>
      <top style="thick">
        <color rgb="FFFF0000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0000CC"/>
      </left>
      <right style="thin">
        <color rgb="FF0000CC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/>
      <diagonal/>
    </border>
    <border>
      <left style="thin">
        <color rgb="FF0000CC"/>
      </left>
      <right style="thin">
        <color rgb="FF0000CC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rgb="FFFF0000"/>
      </right>
      <top style="thick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/>
      <diagonal/>
    </border>
  </borders>
  <cellStyleXfs count="2">
    <xf numFmtId="0" fontId="0" fillId="0" borderId="0"/>
    <xf numFmtId="0" fontId="26" fillId="3" borderId="0" applyNumberFormat="0" applyBorder="0" applyAlignment="0" applyProtection="0"/>
  </cellStyleXfs>
  <cellXfs count="443">
    <xf numFmtId="0" fontId="0" fillId="0" borderId="0" xfId="0"/>
    <xf numFmtId="0" fontId="2" fillId="0" borderId="0" xfId="0" applyFont="1"/>
    <xf numFmtId="9" fontId="2" fillId="0" borderId="0" xfId="0" applyNumberFormat="1" applyFont="1"/>
    <xf numFmtId="10" fontId="2" fillId="0" borderId="0" xfId="0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0" xfId="0" applyFont="1" applyBorder="1" applyAlignment="1">
      <alignment horizontal="left"/>
    </xf>
    <xf numFmtId="20" fontId="3" fillId="0" borderId="11" xfId="0" applyNumberFormat="1" applyFont="1" applyBorder="1" applyAlignment="1">
      <alignment horizontal="center"/>
    </xf>
    <xf numFmtId="20" fontId="3" fillId="0" borderId="12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14" xfId="0" applyFont="1" applyBorder="1" applyAlignment="1">
      <alignment wrapText="1"/>
    </xf>
    <xf numFmtId="0" fontId="4" fillId="0" borderId="15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18" xfId="0" applyFont="1" applyBorder="1" applyAlignment="1">
      <alignment horizontal="center"/>
    </xf>
    <xf numFmtId="0" fontId="5" fillId="0" borderId="19" xfId="0" applyFont="1" applyBorder="1" applyAlignment="1">
      <alignment wrapText="1"/>
    </xf>
    <xf numFmtId="0" fontId="4" fillId="0" borderId="20" xfId="0" applyFont="1" applyBorder="1" applyAlignment="1">
      <alignment horizontal="left" vertical="center"/>
    </xf>
    <xf numFmtId="0" fontId="7" fillId="0" borderId="19" xfId="0" applyFont="1" applyBorder="1" applyAlignment="1">
      <alignment wrapText="1"/>
    </xf>
    <xf numFmtId="0" fontId="6" fillId="0" borderId="19" xfId="0" applyFont="1" applyBorder="1"/>
    <xf numFmtId="0" fontId="5" fillId="0" borderId="19" xfId="0" applyFont="1" applyBorder="1"/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/>
    </xf>
    <xf numFmtId="0" fontId="4" fillId="0" borderId="19" xfId="0" applyFont="1" applyBorder="1"/>
    <xf numFmtId="0" fontId="4" fillId="0" borderId="26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center"/>
    </xf>
    <xf numFmtId="0" fontId="8" fillId="0" borderId="30" xfId="0" applyFont="1" applyBorder="1" applyAlignment="1">
      <alignment wrapText="1"/>
    </xf>
    <xf numFmtId="0" fontId="4" fillId="0" borderId="31" xfId="0" applyFont="1" applyBorder="1" applyAlignment="1">
      <alignment horizontal="left" vertical="center"/>
    </xf>
    <xf numFmtId="0" fontId="9" fillId="0" borderId="32" xfId="0" applyFont="1" applyBorder="1"/>
    <xf numFmtId="0" fontId="10" fillId="0" borderId="33" xfId="0" applyFont="1" applyBorder="1"/>
    <xf numFmtId="0" fontId="0" fillId="0" borderId="33" xfId="0" applyBorder="1" applyAlignment="1">
      <alignment horizontal="left"/>
    </xf>
    <xf numFmtId="0" fontId="0" fillId="0" borderId="34" xfId="0" applyBorder="1"/>
    <xf numFmtId="0" fontId="0" fillId="0" borderId="35" xfId="0" applyBorder="1"/>
    <xf numFmtId="0" fontId="0" fillId="0" borderId="35" xfId="0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49" fontId="14" fillId="0" borderId="21" xfId="0" applyNumberFormat="1" applyFont="1" applyBorder="1" applyAlignment="1">
      <alignment horizontal="center"/>
    </xf>
    <xf numFmtId="49" fontId="14" fillId="0" borderId="40" xfId="0" applyNumberFormat="1" applyFont="1" applyBorder="1" applyAlignment="1">
      <alignment horizontal="center"/>
    </xf>
    <xf numFmtId="49" fontId="14" fillId="0" borderId="19" xfId="0" applyNumberFormat="1" applyFont="1" applyBorder="1" applyAlignment="1">
      <alignment horizontal="center"/>
    </xf>
    <xf numFmtId="0" fontId="16" fillId="0" borderId="20" xfId="0" applyFont="1" applyBorder="1" applyAlignment="1">
      <alignment horizontal="left"/>
    </xf>
    <xf numFmtId="0" fontId="17" fillId="0" borderId="44" xfId="0" applyFont="1" applyBorder="1" applyAlignment="1">
      <alignment horizontal="left" wrapText="1"/>
    </xf>
    <xf numFmtId="0" fontId="17" fillId="0" borderId="40" xfId="0" applyFont="1" applyBorder="1" applyAlignment="1">
      <alignment horizontal="left"/>
    </xf>
    <xf numFmtId="0" fontId="17" fillId="0" borderId="20" xfId="0" applyFont="1" applyBorder="1"/>
    <xf numFmtId="0" fontId="17" fillId="0" borderId="21" xfId="0" applyFont="1" applyBorder="1" applyAlignment="1">
      <alignment horizontal="left"/>
    </xf>
    <xf numFmtId="0" fontId="17" fillId="0" borderId="19" xfId="0" applyFont="1" applyBorder="1" applyAlignment="1">
      <alignment horizontal="left"/>
    </xf>
    <xf numFmtId="0" fontId="16" fillId="0" borderId="44" xfId="0" applyFont="1" applyBorder="1" applyAlignment="1">
      <alignment horizontal="left"/>
    </xf>
    <xf numFmtId="0" fontId="16" fillId="0" borderId="40" xfId="0" applyFont="1" applyBorder="1" applyAlignment="1">
      <alignment horizontal="left" wrapText="1"/>
    </xf>
    <xf numFmtId="0" fontId="16" fillId="0" borderId="21" xfId="0" applyFont="1" applyBorder="1" applyAlignment="1">
      <alignment horizontal="left"/>
    </xf>
    <xf numFmtId="0" fontId="16" fillId="0" borderId="40" xfId="0" applyFont="1" applyBorder="1" applyAlignment="1">
      <alignment horizontal="left"/>
    </xf>
    <xf numFmtId="0" fontId="16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8" fillId="0" borderId="44" xfId="0" applyFont="1" applyBorder="1" applyAlignment="1">
      <alignment horizontal="left" wrapText="1"/>
    </xf>
    <xf numFmtId="0" fontId="19" fillId="0" borderId="20" xfId="0" applyFont="1" applyBorder="1" applyAlignment="1">
      <alignment wrapText="1"/>
    </xf>
    <xf numFmtId="0" fontId="20" fillId="0" borderId="44" xfId="0" applyFont="1" applyBorder="1" applyAlignment="1">
      <alignment horizontal="left"/>
    </xf>
    <xf numFmtId="0" fontId="16" fillId="0" borderId="20" xfId="0" applyFont="1" applyBorder="1" applyAlignment="1">
      <alignment wrapText="1"/>
    </xf>
    <xf numFmtId="0" fontId="18" fillId="0" borderId="44" xfId="0" applyFont="1" applyBorder="1" applyAlignment="1">
      <alignment horizontal="left"/>
    </xf>
    <xf numFmtId="0" fontId="20" fillId="0" borderId="44" xfId="0" applyFont="1" applyBorder="1" applyAlignment="1">
      <alignment horizontal="left" wrapText="1"/>
    </xf>
    <xf numFmtId="0" fontId="16" fillId="0" borderId="41" xfId="0" applyFont="1" applyBorder="1" applyAlignment="1">
      <alignment horizontal="left"/>
    </xf>
    <xf numFmtId="0" fontId="16" fillId="0" borderId="44" xfId="0" applyFont="1" applyBorder="1" applyAlignment="1">
      <alignment horizontal="left" wrapText="1"/>
    </xf>
    <xf numFmtId="0" fontId="16" fillId="0" borderId="45" xfId="0" applyFont="1" applyBorder="1" applyAlignment="1">
      <alignment horizontal="left"/>
    </xf>
    <xf numFmtId="0" fontId="18" fillId="0" borderId="46" xfId="0" applyFont="1" applyBorder="1" applyAlignment="1">
      <alignment horizontal="left" wrapText="1"/>
    </xf>
    <xf numFmtId="0" fontId="16" fillId="0" borderId="47" xfId="0" applyFont="1" applyBorder="1" applyAlignment="1">
      <alignment horizontal="left" wrapText="1"/>
    </xf>
    <xf numFmtId="0" fontId="16" fillId="0" borderId="48" xfId="0" applyFont="1" applyBorder="1" applyAlignment="1">
      <alignment horizontal="left"/>
    </xf>
    <xf numFmtId="0" fontId="16" fillId="0" borderId="47" xfId="0" applyFont="1" applyBorder="1" applyAlignment="1">
      <alignment horizontal="left"/>
    </xf>
    <xf numFmtId="0" fontId="16" fillId="0" borderId="49" xfId="0" applyFont="1" applyBorder="1" applyAlignment="1">
      <alignment horizontal="left"/>
    </xf>
    <xf numFmtId="0" fontId="21" fillId="0" borderId="20" xfId="0" applyFont="1" applyBorder="1" applyAlignment="1">
      <alignment horizontal="left" wrapText="1"/>
    </xf>
    <xf numFmtId="0" fontId="17" fillId="0" borderId="51" xfId="0" applyFont="1" applyBorder="1" applyAlignment="1">
      <alignment horizontal="left" wrapText="1"/>
    </xf>
    <xf numFmtId="0" fontId="17" fillId="0" borderId="52" xfId="0" applyFont="1" applyBorder="1" applyAlignment="1">
      <alignment horizontal="left" wrapText="1"/>
    </xf>
    <xf numFmtId="0" fontId="17" fillId="0" borderId="50" xfId="0" applyFont="1" applyBorder="1" applyAlignment="1">
      <alignment wrapText="1"/>
    </xf>
    <xf numFmtId="0" fontId="17" fillId="0" borderId="53" xfId="0" applyFont="1" applyBorder="1" applyAlignment="1">
      <alignment horizontal="left"/>
    </xf>
    <xf numFmtId="0" fontId="17" fillId="0" borderId="52" xfId="0" applyFont="1" applyBorder="1" applyAlignment="1">
      <alignment horizontal="left"/>
    </xf>
    <xf numFmtId="0" fontId="17" fillId="0" borderId="50" xfId="0" applyFont="1" applyBorder="1" applyAlignment="1">
      <alignment horizontal="left"/>
    </xf>
    <xf numFmtId="0" fontId="16" fillId="0" borderId="43" xfId="0" applyFont="1" applyBorder="1" applyAlignment="1">
      <alignment horizontal="left"/>
    </xf>
    <xf numFmtId="0" fontId="16" fillId="0" borderId="54" xfId="0" applyFont="1" applyBorder="1" applyAlignment="1">
      <alignment horizontal="left" wrapText="1"/>
    </xf>
    <xf numFmtId="0" fontId="16" fillId="0" borderId="55" xfId="0" applyFont="1" applyBorder="1" applyAlignment="1">
      <alignment horizontal="left" wrapText="1"/>
    </xf>
    <xf numFmtId="0" fontId="16" fillId="0" borderId="43" xfId="0" applyFont="1" applyBorder="1" applyAlignment="1">
      <alignment horizontal="left" wrapText="1"/>
    </xf>
    <xf numFmtId="0" fontId="16" fillId="0" borderId="56" xfId="0" applyFont="1" applyBorder="1" applyAlignment="1">
      <alignment horizontal="left"/>
    </xf>
    <xf numFmtId="0" fontId="16" fillId="0" borderId="55" xfId="0" applyFont="1" applyBorder="1" applyAlignment="1">
      <alignment horizontal="left"/>
    </xf>
    <xf numFmtId="0" fontId="20" fillId="0" borderId="40" xfId="0" applyFont="1" applyBorder="1" applyAlignment="1">
      <alignment horizontal="left" wrapText="1"/>
    </xf>
    <xf numFmtId="0" fontId="16" fillId="0" borderId="20" xfId="0" applyFont="1" applyBorder="1" applyAlignment="1">
      <alignment horizontal="left" wrapText="1"/>
    </xf>
    <xf numFmtId="0" fontId="20" fillId="0" borderId="20" xfId="0" applyFont="1" applyBorder="1" applyAlignment="1">
      <alignment horizontal="left" wrapText="1"/>
    </xf>
    <xf numFmtId="0" fontId="19" fillId="0" borderId="44" xfId="0" applyFont="1" applyBorder="1" applyAlignment="1">
      <alignment horizontal="left" wrapText="1"/>
    </xf>
    <xf numFmtId="0" fontId="21" fillId="0" borderId="44" xfId="0" applyFont="1" applyBorder="1" applyAlignment="1">
      <alignment horizontal="left"/>
    </xf>
    <xf numFmtId="0" fontId="22" fillId="0" borderId="20" xfId="0" applyFont="1" applyBorder="1" applyAlignment="1">
      <alignment horizontal="left" wrapText="1"/>
    </xf>
    <xf numFmtId="0" fontId="16" fillId="0" borderId="35" xfId="0" applyFont="1" applyBorder="1" applyAlignment="1">
      <alignment horizontal="left"/>
    </xf>
    <xf numFmtId="0" fontId="16" fillId="0" borderId="20" xfId="0" applyFont="1" applyBorder="1"/>
    <xf numFmtId="0" fontId="21" fillId="0" borderId="57" xfId="0" applyFont="1" applyBorder="1" applyAlignment="1">
      <alignment horizontal="left" wrapText="1"/>
    </xf>
    <xf numFmtId="0" fontId="16" fillId="0" borderId="28" xfId="0" applyFont="1" applyBorder="1" applyAlignment="1">
      <alignment horizontal="left" wrapText="1"/>
    </xf>
    <xf numFmtId="0" fontId="16" fillId="0" borderId="41" xfId="0" applyFont="1" applyBorder="1" applyAlignment="1">
      <alignment wrapText="1"/>
    </xf>
    <xf numFmtId="0" fontId="16" fillId="0" borderId="23" xfId="0" applyFont="1" applyBorder="1" applyAlignment="1">
      <alignment horizontal="left"/>
    </xf>
    <xf numFmtId="0" fontId="16" fillId="0" borderId="28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16" fillId="0" borderId="58" xfId="0" applyFont="1" applyBorder="1" applyAlignment="1">
      <alignment horizontal="left"/>
    </xf>
    <xf numFmtId="0" fontId="16" fillId="0" borderId="59" xfId="0" applyFont="1" applyBorder="1" applyAlignment="1">
      <alignment horizontal="left"/>
    </xf>
    <xf numFmtId="0" fontId="16" fillId="0" borderId="16" xfId="0" applyFont="1" applyBorder="1" applyAlignment="1">
      <alignment horizontal="left"/>
    </xf>
    <xf numFmtId="0" fontId="16" fillId="0" borderId="44" xfId="0" applyFont="1" applyBorder="1" applyAlignment="1">
      <alignment horizontal="left" vertical="top" wrapText="1"/>
    </xf>
    <xf numFmtId="0" fontId="17" fillId="0" borderId="40" xfId="0" applyFont="1" applyBorder="1" applyAlignment="1">
      <alignment horizontal="left" wrapText="1"/>
    </xf>
    <xf numFmtId="0" fontId="17" fillId="0" borderId="20" xfId="0" applyFont="1" applyBorder="1" applyAlignment="1">
      <alignment wrapText="1"/>
    </xf>
    <xf numFmtId="16" fontId="17" fillId="0" borderId="44" xfId="0" applyNumberFormat="1" applyFont="1" applyBorder="1" applyAlignment="1">
      <alignment horizontal="left" wrapText="1"/>
    </xf>
    <xf numFmtId="0" fontId="24" fillId="0" borderId="40" xfId="0" applyFont="1" applyBorder="1" applyAlignment="1">
      <alignment horizontal="left" wrapText="1"/>
    </xf>
    <xf numFmtId="0" fontId="16" fillId="0" borderId="51" xfId="0" applyFont="1" applyBorder="1" applyAlignment="1">
      <alignment horizontal="left"/>
    </xf>
    <xf numFmtId="0" fontId="16" fillId="0" borderId="52" xfId="0" applyFont="1" applyBorder="1" applyAlignment="1">
      <alignment horizontal="left"/>
    </xf>
    <xf numFmtId="0" fontId="16" fillId="0" borderId="30" xfId="0" applyFont="1" applyBorder="1" applyAlignment="1">
      <alignment horizontal="left"/>
    </xf>
    <xf numFmtId="0" fontId="19" fillId="0" borderId="44" xfId="0" applyFont="1" applyBorder="1" applyAlignment="1">
      <alignment horizontal="left"/>
    </xf>
    <xf numFmtId="0" fontId="18" fillId="0" borderId="40" xfId="0" applyFont="1" applyBorder="1" applyAlignment="1">
      <alignment horizontal="left" wrapText="1"/>
    </xf>
    <xf numFmtId="0" fontId="22" fillId="0" borderId="20" xfId="0" applyFont="1" applyBorder="1"/>
    <xf numFmtId="49" fontId="14" fillId="0" borderId="60" xfId="0" applyNumberFormat="1" applyFont="1" applyBorder="1" applyAlignment="1">
      <alignment horizontal="left"/>
    </xf>
    <xf numFmtId="49" fontId="14" fillId="0" borderId="61" xfId="0" applyNumberFormat="1" applyFont="1" applyBorder="1" applyAlignment="1">
      <alignment horizontal="center"/>
    </xf>
    <xf numFmtId="0" fontId="17" fillId="0" borderId="60" xfId="0" applyFont="1" applyBorder="1" applyAlignment="1">
      <alignment horizontal="left"/>
    </xf>
    <xf numFmtId="0" fontId="17" fillId="0" borderId="61" xfId="0" applyFont="1" applyBorder="1" applyAlignment="1">
      <alignment horizontal="left"/>
    </xf>
    <xf numFmtId="0" fontId="23" fillId="0" borderId="60" xfId="0" applyFont="1" applyBorder="1" applyAlignment="1">
      <alignment horizontal="left"/>
    </xf>
    <xf numFmtId="0" fontId="16" fillId="0" borderId="61" xfId="0" applyFont="1" applyBorder="1" applyAlignment="1">
      <alignment horizontal="left"/>
    </xf>
    <xf numFmtId="0" fontId="16" fillId="0" borderId="60" xfId="0" applyFont="1" applyBorder="1" applyAlignment="1">
      <alignment horizontal="left"/>
    </xf>
    <xf numFmtId="0" fontId="23" fillId="0" borderId="62" xfId="0" applyFont="1" applyBorder="1" applyAlignment="1">
      <alignment horizontal="left"/>
    </xf>
    <xf numFmtId="0" fontId="16" fillId="0" borderId="63" xfId="0" applyFont="1" applyBorder="1" applyAlignment="1">
      <alignment horizontal="left"/>
    </xf>
    <xf numFmtId="0" fontId="17" fillId="0" borderId="30" xfId="0" applyFont="1" applyBorder="1" applyAlignment="1">
      <alignment horizontal="left"/>
    </xf>
    <xf numFmtId="0" fontId="17" fillId="0" borderId="64" xfId="0" applyFont="1" applyBorder="1" applyAlignment="1">
      <alignment horizontal="left"/>
    </xf>
    <xf numFmtId="0" fontId="17" fillId="0" borderId="65" xfId="0" applyFont="1" applyBorder="1" applyAlignment="1">
      <alignment horizontal="left"/>
    </xf>
    <xf numFmtId="0" fontId="16" fillId="0" borderId="66" xfId="0" applyFont="1" applyBorder="1" applyAlignment="1">
      <alignment horizontal="left"/>
    </xf>
    <xf numFmtId="0" fontId="16" fillId="0" borderId="67" xfId="0" applyFont="1" applyBorder="1" applyAlignment="1">
      <alignment horizontal="left"/>
    </xf>
    <xf numFmtId="0" fontId="16" fillId="0" borderId="68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0" fontId="16" fillId="0" borderId="69" xfId="0" applyFont="1" applyBorder="1" applyAlignment="1">
      <alignment horizontal="left"/>
    </xf>
    <xf numFmtId="0" fontId="16" fillId="0" borderId="70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23" fillId="0" borderId="71" xfId="0" applyFont="1" applyBorder="1" applyAlignment="1">
      <alignment horizontal="left"/>
    </xf>
    <xf numFmtId="0" fontId="16" fillId="0" borderId="72" xfId="0" applyFont="1" applyBorder="1" applyAlignment="1">
      <alignment horizontal="left"/>
    </xf>
    <xf numFmtId="0" fontId="23" fillId="0" borderId="64" xfId="0" applyFont="1" applyBorder="1" applyAlignment="1">
      <alignment horizontal="left"/>
    </xf>
    <xf numFmtId="0" fontId="16" fillId="0" borderId="65" xfId="0" applyFont="1" applyBorder="1" applyAlignment="1">
      <alignment horizontal="left"/>
    </xf>
    <xf numFmtId="0" fontId="23" fillId="0" borderId="67" xfId="0" applyFont="1" applyBorder="1" applyAlignment="1">
      <alignment horizontal="left"/>
    </xf>
    <xf numFmtId="0" fontId="16" fillId="0" borderId="60" xfId="0" applyFont="1" applyBorder="1"/>
    <xf numFmtId="0" fontId="23" fillId="0" borderId="40" xfId="0" applyFont="1" applyBorder="1"/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/>
    <xf numFmtId="0" fontId="23" fillId="0" borderId="28" xfId="0" applyFont="1" applyBorder="1"/>
    <xf numFmtId="0" fontId="23" fillId="0" borderId="47" xfId="0" applyFont="1" applyBorder="1"/>
    <xf numFmtId="0" fontId="25" fillId="0" borderId="0" xfId="0" applyFont="1" applyAlignment="1">
      <alignment horizontal="left"/>
    </xf>
    <xf numFmtId="0" fontId="26" fillId="0" borderId="0" xfId="1" applyFill="1"/>
    <xf numFmtId="16" fontId="19" fillId="0" borderId="44" xfId="0" applyNumberFormat="1" applyFont="1" applyBorder="1" applyAlignment="1">
      <alignment horizontal="left"/>
    </xf>
    <xf numFmtId="16" fontId="16" fillId="0" borderId="44" xfId="0" applyNumberFormat="1" applyFont="1" applyBorder="1" applyAlignment="1">
      <alignment horizontal="left" wrapText="1"/>
    </xf>
    <xf numFmtId="0" fontId="20" fillId="0" borderId="19" xfId="0" applyFont="1" applyBorder="1" applyAlignment="1">
      <alignment horizontal="left" wrapText="1"/>
    </xf>
    <xf numFmtId="0" fontId="27" fillId="0" borderId="0" xfId="0" applyFont="1" applyAlignment="1">
      <alignment horizontal="left"/>
    </xf>
    <xf numFmtId="0" fontId="27" fillId="0" borderId="0" xfId="0" applyFont="1"/>
    <xf numFmtId="0" fontId="28" fillId="0" borderId="75" xfId="0" applyFont="1" applyBorder="1" applyAlignment="1">
      <alignment horizontal="left"/>
    </xf>
    <xf numFmtId="0" fontId="28" fillId="0" borderId="76" xfId="0" applyFont="1" applyBorder="1" applyAlignment="1">
      <alignment horizontal="left"/>
    </xf>
    <xf numFmtId="49" fontId="28" fillId="0" borderId="76" xfId="0" applyNumberFormat="1" applyFont="1" applyBorder="1" applyAlignment="1">
      <alignment horizontal="center"/>
    </xf>
    <xf numFmtId="49" fontId="28" fillId="0" borderId="76" xfId="0" applyNumberFormat="1" applyFont="1" applyBorder="1" applyAlignment="1">
      <alignment horizontal="center" wrapText="1"/>
    </xf>
    <xf numFmtId="0" fontId="29" fillId="0" borderId="77" xfId="0" applyFont="1" applyBorder="1" applyAlignment="1">
      <alignment horizontal="left"/>
    </xf>
    <xf numFmtId="0" fontId="30" fillId="0" borderId="16" xfId="0" applyFont="1" applyBorder="1" applyAlignment="1">
      <alignment horizontal="left"/>
    </xf>
    <xf numFmtId="0" fontId="30" fillId="0" borderId="14" xfId="0" applyFont="1" applyBorder="1" applyAlignment="1">
      <alignment horizontal="left"/>
    </xf>
    <xf numFmtId="0" fontId="29" fillId="0" borderId="78" xfId="0" applyFont="1" applyBorder="1" applyAlignment="1">
      <alignment horizontal="left"/>
    </xf>
    <xf numFmtId="0" fontId="29" fillId="0" borderId="79" xfId="0" applyFont="1" applyBorder="1" applyAlignment="1">
      <alignment horizontal="left"/>
    </xf>
    <xf numFmtId="0" fontId="29" fillId="0" borderId="80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0" fontId="29" fillId="0" borderId="81" xfId="0" applyFont="1" applyBorder="1" applyAlignment="1">
      <alignment horizontal="left"/>
    </xf>
    <xf numFmtId="0" fontId="29" fillId="0" borderId="82" xfId="0" applyFont="1" applyBorder="1" applyAlignment="1">
      <alignment horizontal="left"/>
    </xf>
    <xf numFmtId="0" fontId="29" fillId="0" borderId="83" xfId="0" applyFont="1" applyBorder="1" applyAlignment="1">
      <alignment horizontal="left"/>
    </xf>
    <xf numFmtId="0" fontId="29" fillId="0" borderId="84" xfId="0" applyFont="1" applyBorder="1" applyAlignment="1">
      <alignment horizontal="left"/>
    </xf>
    <xf numFmtId="0" fontId="29" fillId="0" borderId="85" xfId="0" applyFont="1" applyBorder="1" applyAlignment="1">
      <alignment horizontal="left"/>
    </xf>
    <xf numFmtId="0" fontId="29" fillId="0" borderId="86" xfId="0" applyFont="1" applyBorder="1" applyAlignment="1">
      <alignment horizontal="left"/>
    </xf>
    <xf numFmtId="0" fontId="31" fillId="0" borderId="56" xfId="0" applyFont="1" applyBorder="1" applyAlignment="1">
      <alignment horizontal="left"/>
    </xf>
    <xf numFmtId="0" fontId="31" fillId="0" borderId="66" xfId="0" applyFont="1" applyBorder="1" applyAlignment="1">
      <alignment horizontal="left"/>
    </xf>
    <xf numFmtId="0" fontId="31" fillId="0" borderId="21" xfId="0" applyFont="1" applyBorder="1" applyAlignment="1">
      <alignment horizontal="left"/>
    </xf>
    <xf numFmtId="0" fontId="31" fillId="0" borderId="19" xfId="0" applyFont="1" applyBorder="1" applyAlignment="1">
      <alignment horizontal="left"/>
    </xf>
    <xf numFmtId="0" fontId="31" fillId="0" borderId="53" xfId="0" applyFont="1" applyBorder="1" applyAlignment="1">
      <alignment horizontal="left"/>
    </xf>
    <xf numFmtId="0" fontId="31" fillId="0" borderId="30" xfId="0" applyFont="1" applyBorder="1" applyAlignment="1">
      <alignment horizontal="left"/>
    </xf>
    <xf numFmtId="0" fontId="32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87" xfId="0" applyFont="1" applyBorder="1" applyAlignment="1">
      <alignment horizontal="left"/>
    </xf>
    <xf numFmtId="0" fontId="28" fillId="0" borderId="88" xfId="0" applyFont="1" applyBorder="1" applyAlignment="1">
      <alignment horizontal="left"/>
    </xf>
    <xf numFmtId="0" fontId="28" fillId="0" borderId="89" xfId="0" applyFont="1" applyBorder="1" applyAlignment="1">
      <alignment horizontal="left"/>
    </xf>
    <xf numFmtId="0" fontId="28" fillId="0" borderId="87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/>
    </xf>
    <xf numFmtId="0" fontId="33" fillId="0" borderId="16" xfId="0" applyFont="1" applyBorder="1" applyAlignment="1">
      <alignment horizontal="left"/>
    </xf>
    <xf numFmtId="0" fontId="28" fillId="0" borderId="90" xfId="0" applyFont="1" applyBorder="1" applyAlignment="1">
      <alignment horizontal="left"/>
    </xf>
    <xf numFmtId="0" fontId="28" fillId="0" borderId="90" xfId="0" applyFont="1" applyBorder="1" applyAlignment="1">
      <alignment horizontal="center" vertical="center"/>
    </xf>
    <xf numFmtId="0" fontId="34" fillId="0" borderId="16" xfId="0" applyFont="1" applyBorder="1" applyAlignment="1">
      <alignment horizontal="left"/>
    </xf>
    <xf numFmtId="0" fontId="35" fillId="0" borderId="0" xfId="0" applyFont="1"/>
    <xf numFmtId="49" fontId="36" fillId="0" borderId="92" xfId="0" applyNumberFormat="1" applyFont="1" applyBorder="1" applyAlignment="1">
      <alignment horizontal="center"/>
    </xf>
    <xf numFmtId="0" fontId="30" fillId="0" borderId="93" xfId="0" applyFont="1" applyBorder="1" applyAlignment="1">
      <alignment horizontal="left"/>
    </xf>
    <xf numFmtId="0" fontId="30" fillId="0" borderId="94" xfId="0" applyFont="1" applyBorder="1" applyAlignment="1">
      <alignment horizontal="left"/>
    </xf>
    <xf numFmtId="0" fontId="37" fillId="0" borderId="0" xfId="0" applyFont="1"/>
    <xf numFmtId="0" fontId="30" fillId="0" borderId="95" xfId="0" applyFont="1" applyBorder="1" applyAlignment="1">
      <alignment horizontal="left"/>
    </xf>
    <xf numFmtId="0" fontId="31" fillId="0" borderId="96" xfId="0" applyFont="1" applyBorder="1" applyAlignment="1">
      <alignment horizontal="left"/>
    </xf>
    <xf numFmtId="0" fontId="31" fillId="0" borderId="22" xfId="0" applyFont="1" applyBorder="1" applyAlignment="1">
      <alignment horizontal="left"/>
    </xf>
    <xf numFmtId="0" fontId="31" fillId="0" borderId="91" xfId="0" applyFont="1" applyBorder="1" applyAlignment="1">
      <alignment horizontal="left"/>
    </xf>
    <xf numFmtId="0" fontId="28" fillId="0" borderId="89" xfId="0" applyFont="1" applyBorder="1" applyAlignment="1">
      <alignment horizontal="center" vertical="center"/>
    </xf>
    <xf numFmtId="0" fontId="38" fillId="0" borderId="97" xfId="0" applyFont="1" applyBorder="1" applyAlignment="1">
      <alignment horizontal="left"/>
    </xf>
    <xf numFmtId="0" fontId="38" fillId="0" borderId="98" xfId="0" applyFont="1" applyBorder="1" applyAlignment="1">
      <alignment horizontal="left"/>
    </xf>
    <xf numFmtId="0" fontId="28" fillId="0" borderId="99" xfId="0" applyFont="1" applyBorder="1" applyAlignment="1">
      <alignment horizontal="left"/>
    </xf>
    <xf numFmtId="0" fontId="28" fillId="0" borderId="0" xfId="0" applyFont="1"/>
    <xf numFmtId="0" fontId="28" fillId="0" borderId="100" xfId="0" applyFont="1" applyBorder="1"/>
    <xf numFmtId="0" fontId="29" fillId="0" borderId="16" xfId="0" applyFont="1" applyBorder="1" applyAlignment="1">
      <alignment horizontal="left"/>
    </xf>
    <xf numFmtId="0" fontId="39" fillId="0" borderId="16" xfId="0" applyFont="1" applyBorder="1" applyAlignment="1">
      <alignment horizontal="left"/>
    </xf>
    <xf numFmtId="0" fontId="28" fillId="0" borderId="0" xfId="0" applyFont="1" applyAlignment="1">
      <alignment horizontal="center"/>
    </xf>
    <xf numFmtId="0" fontId="28" fillId="0" borderId="74" xfId="0" applyFont="1" applyBorder="1" applyAlignment="1">
      <alignment horizontal="center"/>
    </xf>
    <xf numFmtId="0" fontId="40" fillId="0" borderId="16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39" fillId="0" borderId="53" xfId="0" applyFont="1" applyBorder="1" applyAlignment="1">
      <alignment horizontal="left"/>
    </xf>
    <xf numFmtId="0" fontId="39" fillId="0" borderId="30" xfId="0" applyFont="1" applyBorder="1" applyAlignment="1">
      <alignment horizontal="left"/>
    </xf>
    <xf numFmtId="0" fontId="39" fillId="0" borderId="91" xfId="0" applyFont="1" applyBorder="1" applyAlignment="1">
      <alignment horizontal="left"/>
    </xf>
    <xf numFmtId="0" fontId="39" fillId="0" borderId="52" xfId="0" applyFont="1" applyBorder="1" applyAlignment="1">
      <alignment horizontal="left"/>
    </xf>
    <xf numFmtId="0" fontId="28" fillId="0" borderId="74" xfId="0" applyFont="1" applyBorder="1"/>
    <xf numFmtId="0" fontId="30" fillId="0" borderId="17" xfId="0" applyFont="1" applyBorder="1" applyAlignment="1">
      <alignment horizontal="left"/>
    </xf>
    <xf numFmtId="0" fontId="33" fillId="0" borderId="14" xfId="0" applyFont="1" applyBorder="1" applyAlignment="1">
      <alignment horizontal="left"/>
    </xf>
    <xf numFmtId="0" fontId="33" fillId="0" borderId="17" xfId="0" applyFont="1" applyBorder="1" applyAlignment="1">
      <alignment horizontal="left"/>
    </xf>
    <xf numFmtId="0" fontId="33" fillId="0" borderId="21" xfId="0" applyFont="1" applyBorder="1" applyAlignment="1">
      <alignment horizontal="left"/>
    </xf>
    <xf numFmtId="0" fontId="28" fillId="0" borderId="105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33" fillId="0" borderId="16" xfId="0" applyFont="1" applyBorder="1" applyAlignment="1">
      <alignment horizontal="center"/>
    </xf>
    <xf numFmtId="0" fontId="43" fillId="0" borderId="0" xfId="0" applyFont="1" applyAlignment="1">
      <alignment horizontal="left"/>
    </xf>
    <xf numFmtId="0" fontId="44" fillId="0" borderId="16" xfId="0" applyFont="1" applyBorder="1" applyAlignment="1">
      <alignment horizontal="left"/>
    </xf>
    <xf numFmtId="0" fontId="45" fillId="0" borderId="16" xfId="0" applyFont="1" applyBorder="1" applyAlignment="1">
      <alignment horizontal="left"/>
    </xf>
    <xf numFmtId="0" fontId="42" fillId="0" borderId="102" xfId="0" applyFont="1" applyBorder="1" applyAlignment="1">
      <alignment horizontal="left"/>
    </xf>
    <xf numFmtId="0" fontId="42" fillId="0" borderId="103" xfId="0" applyFont="1" applyBorder="1" applyAlignment="1">
      <alignment horizontal="left"/>
    </xf>
    <xf numFmtId="0" fontId="36" fillId="0" borderId="0" xfId="0" applyFont="1"/>
    <xf numFmtId="0" fontId="42" fillId="0" borderId="104" xfId="0" applyFont="1" applyBorder="1" applyAlignment="1">
      <alignment horizontal="left"/>
    </xf>
    <xf numFmtId="0" fontId="28" fillId="0" borderId="102" xfId="0" applyFont="1" applyBorder="1" applyAlignment="1">
      <alignment horizontal="left"/>
    </xf>
    <xf numFmtId="0" fontId="28" fillId="0" borderId="103" xfId="0" applyFont="1" applyBorder="1" applyAlignment="1">
      <alignment horizontal="left"/>
    </xf>
    <xf numFmtId="0" fontId="28" fillId="0" borderId="104" xfId="0" applyFont="1" applyBorder="1" applyAlignment="1">
      <alignment horizontal="left"/>
    </xf>
    <xf numFmtId="0" fontId="34" fillId="0" borderId="16" xfId="0" quotePrefix="1" applyFont="1" applyBorder="1" applyAlignment="1">
      <alignment horizontal="left"/>
    </xf>
    <xf numFmtId="0" fontId="33" fillId="0" borderId="16" xfId="0" quotePrefix="1" applyFont="1" applyBorder="1" applyAlignment="1">
      <alignment horizontal="left"/>
    </xf>
    <xf numFmtId="0" fontId="33" fillId="0" borderId="16" xfId="0" quotePrefix="1" applyFont="1" applyBorder="1" applyAlignment="1">
      <alignment horizontal="center"/>
    </xf>
    <xf numFmtId="0" fontId="16" fillId="0" borderId="20" xfId="0" quotePrefix="1" applyFont="1" applyBorder="1" applyAlignment="1">
      <alignment horizontal="left"/>
    </xf>
    <xf numFmtId="0" fontId="23" fillId="0" borderId="40" xfId="0" quotePrefix="1" applyFont="1" applyBorder="1"/>
    <xf numFmtId="0" fontId="17" fillId="4" borderId="20" xfId="0" applyFont="1" applyFill="1" applyBorder="1" applyAlignment="1">
      <alignment horizontal="left"/>
    </xf>
    <xf numFmtId="0" fontId="16" fillId="4" borderId="20" xfId="0" applyFont="1" applyFill="1" applyBorder="1" applyAlignment="1">
      <alignment horizontal="left"/>
    </xf>
    <xf numFmtId="0" fontId="16" fillId="4" borderId="41" xfId="0" applyFont="1" applyFill="1" applyBorder="1" applyAlignment="1">
      <alignment horizontal="left"/>
    </xf>
    <xf numFmtId="0" fontId="16" fillId="4" borderId="45" xfId="0" applyFont="1" applyFill="1" applyBorder="1" applyAlignment="1">
      <alignment horizontal="left"/>
    </xf>
    <xf numFmtId="0" fontId="16" fillId="4" borderId="50" xfId="0" applyFont="1" applyFill="1" applyBorder="1" applyAlignment="1">
      <alignment horizontal="left"/>
    </xf>
    <xf numFmtId="0" fontId="16" fillId="4" borderId="43" xfId="0" applyFont="1" applyFill="1" applyBorder="1" applyAlignment="1">
      <alignment horizontal="left"/>
    </xf>
    <xf numFmtId="0" fontId="16" fillId="4" borderId="20" xfId="0" applyFont="1" applyFill="1" applyBorder="1" applyAlignment="1">
      <alignment horizontal="left" shrinkToFit="1"/>
    </xf>
    <xf numFmtId="0" fontId="16" fillId="4" borderId="15" xfId="0" applyFont="1" applyFill="1" applyBorder="1" applyAlignment="1">
      <alignment horizontal="left"/>
    </xf>
    <xf numFmtId="0" fontId="17" fillId="4" borderId="20" xfId="0" quotePrefix="1" applyFont="1" applyFill="1" applyBorder="1" applyAlignment="1">
      <alignment horizontal="left"/>
    </xf>
    <xf numFmtId="0" fontId="16" fillId="5" borderId="20" xfId="0" applyFont="1" applyFill="1" applyBorder="1" applyAlignment="1">
      <alignment horizontal="left"/>
    </xf>
    <xf numFmtId="0" fontId="23" fillId="5" borderId="20" xfId="0" applyFont="1" applyFill="1" applyBorder="1" applyAlignment="1">
      <alignment horizontal="left"/>
    </xf>
    <xf numFmtId="0" fontId="16" fillId="5" borderId="41" xfId="0" applyFont="1" applyFill="1" applyBorder="1" applyAlignment="1">
      <alignment horizontal="left"/>
    </xf>
    <xf numFmtId="0" fontId="16" fillId="5" borderId="20" xfId="0" applyFont="1" applyFill="1" applyBorder="1" applyAlignment="1">
      <alignment horizontal="left" shrinkToFit="1"/>
    </xf>
    <xf numFmtId="0" fontId="16" fillId="5" borderId="20" xfId="0" quotePrefix="1" applyFont="1" applyFill="1" applyBorder="1" applyAlignment="1">
      <alignment horizontal="left"/>
    </xf>
    <xf numFmtId="0" fontId="17" fillId="5" borderId="20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6" fillId="0" borderId="0" xfId="0" applyFont="1"/>
    <xf numFmtId="0" fontId="46" fillId="0" borderId="19" xfId="0" applyFont="1" applyBorder="1" applyAlignment="1">
      <alignment horizontal="left"/>
    </xf>
    <xf numFmtId="0" fontId="46" fillId="0" borderId="20" xfId="0" applyFont="1" applyBorder="1" applyAlignment="1">
      <alignment horizontal="left"/>
    </xf>
    <xf numFmtId="0" fontId="51" fillId="0" borderId="0" xfId="0" applyFont="1"/>
    <xf numFmtId="0" fontId="52" fillId="0" borderId="19" xfId="0" applyFont="1" applyBorder="1" applyAlignment="1">
      <alignment horizontal="left"/>
    </xf>
    <xf numFmtId="0" fontId="53" fillId="0" borderId="60" xfId="0" applyFont="1" applyBorder="1" applyAlignment="1">
      <alignment horizontal="left"/>
    </xf>
    <xf numFmtId="0" fontId="46" fillId="0" borderId="60" xfId="0" applyFont="1" applyBorder="1" applyAlignment="1">
      <alignment horizontal="left"/>
    </xf>
    <xf numFmtId="49" fontId="55" fillId="6" borderId="61" xfId="0" applyNumberFormat="1" applyFont="1" applyFill="1" applyBorder="1" applyAlignment="1">
      <alignment horizontal="center"/>
    </xf>
    <xf numFmtId="49" fontId="55" fillId="6" borderId="19" xfId="0" applyNumberFormat="1" applyFont="1" applyFill="1" applyBorder="1" applyAlignment="1">
      <alignment horizontal="center"/>
    </xf>
    <xf numFmtId="49" fontId="55" fillId="6" borderId="60" xfId="0" applyNumberFormat="1" applyFont="1" applyFill="1" applyBorder="1" applyAlignment="1">
      <alignment horizontal="left"/>
    </xf>
    <xf numFmtId="0" fontId="54" fillId="6" borderId="61" xfId="0" applyFont="1" applyFill="1" applyBorder="1" applyAlignment="1">
      <alignment horizontal="left"/>
    </xf>
    <xf numFmtId="0" fontId="54" fillId="6" borderId="19" xfId="0" applyFont="1" applyFill="1" applyBorder="1" applyAlignment="1">
      <alignment horizontal="left"/>
    </xf>
    <xf numFmtId="0" fontId="54" fillId="6" borderId="60" xfId="0" applyFont="1" applyFill="1" applyBorder="1" applyAlignment="1">
      <alignment horizontal="left"/>
    </xf>
    <xf numFmtId="0" fontId="46" fillId="6" borderId="61" xfId="0" applyFont="1" applyFill="1" applyBorder="1" applyAlignment="1">
      <alignment horizontal="left"/>
    </xf>
    <xf numFmtId="0" fontId="46" fillId="6" borderId="19" xfId="0" applyFont="1" applyFill="1" applyBorder="1" applyAlignment="1">
      <alignment horizontal="left"/>
    </xf>
    <xf numFmtId="0" fontId="46" fillId="6" borderId="60" xfId="0" applyFont="1" applyFill="1" applyBorder="1" applyAlignment="1">
      <alignment horizontal="left"/>
    </xf>
    <xf numFmtId="0" fontId="46" fillId="6" borderId="20" xfId="0" applyFont="1" applyFill="1" applyBorder="1" applyAlignment="1">
      <alignment horizontal="left"/>
    </xf>
    <xf numFmtId="0" fontId="46" fillId="6" borderId="21" xfId="0" applyFont="1" applyFill="1" applyBorder="1" applyAlignment="1">
      <alignment horizontal="left"/>
    </xf>
    <xf numFmtId="0" fontId="46" fillId="6" borderId="63" xfId="0" applyFont="1" applyFill="1" applyBorder="1" applyAlignment="1">
      <alignment horizontal="left"/>
    </xf>
    <xf numFmtId="0" fontId="46" fillId="6" borderId="49" xfId="0" applyFont="1" applyFill="1" applyBorder="1" applyAlignment="1">
      <alignment horizontal="left"/>
    </xf>
    <xf numFmtId="0" fontId="46" fillId="6" borderId="62" xfId="0" applyFont="1" applyFill="1" applyBorder="1" applyAlignment="1">
      <alignment horizontal="left"/>
    </xf>
    <xf numFmtId="0" fontId="54" fillId="6" borderId="65" xfId="0" applyFont="1" applyFill="1" applyBorder="1" applyAlignment="1">
      <alignment horizontal="left"/>
    </xf>
    <xf numFmtId="0" fontId="54" fillId="6" borderId="30" xfId="0" applyFont="1" applyFill="1" applyBorder="1" applyAlignment="1">
      <alignment horizontal="left"/>
    </xf>
    <xf numFmtId="0" fontId="54" fillId="6" borderId="50" xfId="0" applyFont="1" applyFill="1" applyBorder="1" applyAlignment="1">
      <alignment horizontal="left"/>
    </xf>
    <xf numFmtId="0" fontId="54" fillId="6" borderId="53" xfId="0" applyFont="1" applyFill="1" applyBorder="1" applyAlignment="1">
      <alignment horizontal="left"/>
    </xf>
    <xf numFmtId="0" fontId="54" fillId="6" borderId="64" xfId="0" applyFont="1" applyFill="1" applyBorder="1" applyAlignment="1">
      <alignment horizontal="left"/>
    </xf>
    <xf numFmtId="0" fontId="46" fillId="6" borderId="68" xfId="0" applyFont="1" applyFill="1" applyBorder="1" applyAlignment="1">
      <alignment horizontal="left"/>
    </xf>
    <xf numFmtId="0" fontId="46" fillId="6" borderId="66" xfId="0" applyFont="1" applyFill="1" applyBorder="1" applyAlignment="1">
      <alignment horizontal="left"/>
    </xf>
    <xf numFmtId="0" fontId="46" fillId="6" borderId="43" xfId="0" applyFont="1" applyFill="1" applyBorder="1" applyAlignment="1">
      <alignment horizontal="left"/>
    </xf>
    <xf numFmtId="0" fontId="46" fillId="6" borderId="56" xfId="0" applyFont="1" applyFill="1" applyBorder="1" applyAlignment="1">
      <alignment horizontal="left"/>
    </xf>
    <xf numFmtId="0" fontId="46" fillId="6" borderId="67" xfId="0" applyFont="1" applyFill="1" applyBorder="1" applyAlignment="1">
      <alignment horizontal="left"/>
    </xf>
    <xf numFmtId="0" fontId="54" fillId="6" borderId="20" xfId="0" applyFont="1" applyFill="1" applyBorder="1" applyAlignment="1">
      <alignment horizontal="left"/>
    </xf>
    <xf numFmtId="0" fontId="46" fillId="6" borderId="70" xfId="0" applyFont="1" applyFill="1" applyBorder="1" applyAlignment="1">
      <alignment horizontal="left"/>
    </xf>
    <xf numFmtId="0" fontId="46" fillId="6" borderId="24" xfId="0" applyFont="1" applyFill="1" applyBorder="1" applyAlignment="1">
      <alignment horizontal="left"/>
    </xf>
    <xf numFmtId="0" fontId="46" fillId="6" borderId="41" xfId="0" applyFont="1" applyFill="1" applyBorder="1" applyAlignment="1">
      <alignment horizontal="left"/>
    </xf>
    <xf numFmtId="0" fontId="46" fillId="6" borderId="69" xfId="0" applyFont="1" applyFill="1" applyBorder="1" applyAlignment="1">
      <alignment horizontal="left"/>
    </xf>
    <xf numFmtId="0" fontId="46" fillId="6" borderId="72" xfId="0" applyFont="1" applyFill="1" applyBorder="1" applyAlignment="1">
      <alignment horizontal="left"/>
    </xf>
    <xf numFmtId="0" fontId="46" fillId="6" borderId="14" xfId="0" applyFont="1" applyFill="1" applyBorder="1" applyAlignment="1">
      <alignment horizontal="left"/>
    </xf>
    <xf numFmtId="0" fontId="46" fillId="6" borderId="15" xfId="0" applyFont="1" applyFill="1" applyBorder="1" applyAlignment="1">
      <alignment horizontal="left"/>
    </xf>
    <xf numFmtId="0" fontId="46" fillId="6" borderId="16" xfId="0" applyFont="1" applyFill="1" applyBorder="1" applyAlignment="1">
      <alignment horizontal="left"/>
    </xf>
    <xf numFmtId="0" fontId="46" fillId="6" borderId="71" xfId="0" applyFont="1" applyFill="1" applyBorder="1" applyAlignment="1">
      <alignment horizontal="left"/>
    </xf>
    <xf numFmtId="0" fontId="54" fillId="6" borderId="21" xfId="0" applyFont="1" applyFill="1" applyBorder="1" applyAlignment="1">
      <alignment horizontal="left"/>
    </xf>
    <xf numFmtId="0" fontId="46" fillId="6" borderId="65" xfId="0" applyFont="1" applyFill="1" applyBorder="1" applyAlignment="1">
      <alignment horizontal="left"/>
    </xf>
    <xf numFmtId="0" fontId="46" fillId="6" borderId="30" xfId="0" applyFont="1" applyFill="1" applyBorder="1" applyAlignment="1">
      <alignment horizontal="left"/>
    </xf>
    <xf numFmtId="49" fontId="14" fillId="6" borderId="61" xfId="0" applyNumberFormat="1" applyFont="1" applyFill="1" applyBorder="1" applyAlignment="1">
      <alignment horizontal="center"/>
    </xf>
    <xf numFmtId="49" fontId="14" fillId="6" borderId="19" xfId="0" applyNumberFormat="1" applyFont="1" applyFill="1" applyBorder="1" applyAlignment="1">
      <alignment horizontal="center"/>
    </xf>
    <xf numFmtId="49" fontId="14" fillId="6" borderId="60" xfId="0" applyNumberFormat="1" applyFont="1" applyFill="1" applyBorder="1" applyAlignment="1">
      <alignment horizontal="center"/>
    </xf>
    <xf numFmtId="0" fontId="17" fillId="6" borderId="61" xfId="0" applyFont="1" applyFill="1" applyBorder="1" applyAlignment="1">
      <alignment horizontal="left"/>
    </xf>
    <xf numFmtId="0" fontId="17" fillId="6" borderId="19" xfId="0" applyFont="1" applyFill="1" applyBorder="1" applyAlignment="1">
      <alignment horizontal="left"/>
    </xf>
    <xf numFmtId="0" fontId="17" fillId="6" borderId="60" xfId="0" applyFont="1" applyFill="1" applyBorder="1" applyAlignment="1">
      <alignment horizontal="left"/>
    </xf>
    <xf numFmtId="0" fontId="16" fillId="6" borderId="61" xfId="0" applyFont="1" applyFill="1" applyBorder="1" applyAlignment="1">
      <alignment horizontal="left"/>
    </xf>
    <xf numFmtId="0" fontId="16" fillId="6" borderId="19" xfId="0" applyFont="1" applyFill="1" applyBorder="1" applyAlignment="1">
      <alignment horizontal="left"/>
    </xf>
    <xf numFmtId="0" fontId="16" fillId="6" borderId="60" xfId="0" applyFont="1" applyFill="1" applyBorder="1"/>
    <xf numFmtId="0" fontId="16" fillId="6" borderId="60" xfId="0" applyFont="1" applyFill="1" applyBorder="1" applyAlignment="1">
      <alignment horizontal="left"/>
    </xf>
    <xf numFmtId="0" fontId="16" fillId="6" borderId="20" xfId="0" applyFont="1" applyFill="1" applyBorder="1" applyAlignment="1">
      <alignment horizontal="left"/>
    </xf>
    <xf numFmtId="0" fontId="16" fillId="6" borderId="21" xfId="0" applyFont="1" applyFill="1" applyBorder="1" applyAlignment="1">
      <alignment horizontal="left"/>
    </xf>
    <xf numFmtId="0" fontId="16" fillId="6" borderId="63" xfId="0" applyFont="1" applyFill="1" applyBorder="1" applyAlignment="1">
      <alignment horizontal="left"/>
    </xf>
    <xf numFmtId="0" fontId="16" fillId="6" borderId="49" xfId="0" applyFont="1" applyFill="1" applyBorder="1" applyAlignment="1">
      <alignment horizontal="left"/>
    </xf>
    <xf numFmtId="0" fontId="16" fillId="6" borderId="62" xfId="0" applyFont="1" applyFill="1" applyBorder="1"/>
    <xf numFmtId="0" fontId="17" fillId="6" borderId="65" xfId="0" applyFont="1" applyFill="1" applyBorder="1" applyAlignment="1">
      <alignment horizontal="left"/>
    </xf>
    <xf numFmtId="0" fontId="17" fillId="6" borderId="30" xfId="0" applyFont="1" applyFill="1" applyBorder="1" applyAlignment="1">
      <alignment horizontal="left"/>
    </xf>
    <xf numFmtId="0" fontId="17" fillId="6" borderId="50" xfId="0" applyFont="1" applyFill="1" applyBorder="1" applyAlignment="1">
      <alignment horizontal="left"/>
    </xf>
    <xf numFmtId="0" fontId="17" fillId="6" borderId="53" xfId="0" applyFont="1" applyFill="1" applyBorder="1" applyAlignment="1">
      <alignment horizontal="left"/>
    </xf>
    <xf numFmtId="0" fontId="17" fillId="6" borderId="64" xfId="0" applyFont="1" applyFill="1" applyBorder="1" applyAlignment="1">
      <alignment horizontal="left"/>
    </xf>
    <xf numFmtId="0" fontId="16" fillId="6" borderId="68" xfId="0" applyFont="1" applyFill="1" applyBorder="1" applyAlignment="1">
      <alignment horizontal="left"/>
    </xf>
    <xf numFmtId="0" fontId="16" fillId="6" borderId="66" xfId="0" applyFont="1" applyFill="1" applyBorder="1" applyAlignment="1">
      <alignment horizontal="left"/>
    </xf>
    <xf numFmtId="0" fontId="16" fillId="6" borderId="56" xfId="0" applyFont="1" applyFill="1" applyBorder="1" applyAlignment="1">
      <alignment horizontal="left"/>
    </xf>
    <xf numFmtId="0" fontId="16" fillId="6" borderId="67" xfId="0" applyFont="1" applyFill="1" applyBorder="1" applyAlignment="1">
      <alignment horizontal="left"/>
    </xf>
    <xf numFmtId="0" fontId="17" fillId="6" borderId="20" xfId="0" applyFont="1" applyFill="1" applyBorder="1" applyAlignment="1">
      <alignment horizontal="left"/>
    </xf>
    <xf numFmtId="0" fontId="47" fillId="6" borderId="20" xfId="0" applyFont="1" applyFill="1" applyBorder="1" applyAlignment="1">
      <alignment horizontal="left"/>
    </xf>
    <xf numFmtId="0" fontId="16" fillId="6" borderId="70" xfId="0" applyFont="1" applyFill="1" applyBorder="1" applyAlignment="1">
      <alignment horizontal="left"/>
    </xf>
    <xf numFmtId="0" fontId="16" fillId="6" borderId="24" xfId="0" applyFont="1" applyFill="1" applyBorder="1" applyAlignment="1">
      <alignment horizontal="left"/>
    </xf>
    <xf numFmtId="0" fontId="16" fillId="6" borderId="41" xfId="0" applyFont="1" applyFill="1" applyBorder="1" applyAlignment="1">
      <alignment horizontal="left"/>
    </xf>
    <xf numFmtId="0" fontId="48" fillId="6" borderId="23" xfId="0" applyFont="1" applyFill="1" applyBorder="1" applyAlignment="1">
      <alignment horizontal="left"/>
    </xf>
    <xf numFmtId="0" fontId="16" fillId="6" borderId="69" xfId="0" applyFont="1" applyFill="1" applyBorder="1" applyAlignment="1">
      <alignment horizontal="left"/>
    </xf>
    <xf numFmtId="0" fontId="16" fillId="6" borderId="72" xfId="0" applyFont="1" applyFill="1" applyBorder="1" applyAlignment="1">
      <alignment horizontal="left"/>
    </xf>
    <xf numFmtId="0" fontId="16" fillId="6" borderId="14" xfId="0" applyFont="1" applyFill="1" applyBorder="1" applyAlignment="1">
      <alignment horizontal="left"/>
    </xf>
    <xf numFmtId="0" fontId="16" fillId="6" borderId="15" xfId="0" applyFont="1" applyFill="1" applyBorder="1" applyAlignment="1">
      <alignment horizontal="left"/>
    </xf>
    <xf numFmtId="0" fontId="16" fillId="6" borderId="16" xfId="0" applyFont="1" applyFill="1" applyBorder="1" applyAlignment="1">
      <alignment horizontal="left"/>
    </xf>
    <xf numFmtId="0" fontId="16" fillId="6" borderId="71" xfId="0" applyFont="1" applyFill="1" applyBorder="1"/>
    <xf numFmtId="0" fontId="17" fillId="6" borderId="21" xfId="0" applyFont="1" applyFill="1" applyBorder="1" applyAlignment="1">
      <alignment horizontal="left"/>
    </xf>
    <xf numFmtId="0" fontId="16" fillId="6" borderId="65" xfId="0" applyFont="1" applyFill="1" applyBorder="1" applyAlignment="1">
      <alignment horizontal="left"/>
    </xf>
    <xf numFmtId="0" fontId="16" fillId="6" borderId="30" xfId="0" applyFont="1" applyFill="1" applyBorder="1" applyAlignment="1">
      <alignment horizontal="left"/>
    </xf>
    <xf numFmtId="0" fontId="47" fillId="6" borderId="19" xfId="0" applyFont="1" applyFill="1" applyBorder="1" applyAlignment="1">
      <alignment horizontal="left"/>
    </xf>
    <xf numFmtId="0" fontId="47" fillId="6" borderId="21" xfId="0" applyFont="1" applyFill="1" applyBorder="1" applyAlignment="1">
      <alignment horizontal="left"/>
    </xf>
    <xf numFmtId="0" fontId="52" fillId="6" borderId="23" xfId="0" applyFont="1" applyFill="1" applyBorder="1" applyAlignment="1">
      <alignment horizontal="left"/>
    </xf>
    <xf numFmtId="0" fontId="52" fillId="6" borderId="24" xfId="0" applyFont="1" applyFill="1" applyBorder="1" applyAlignment="1">
      <alignment horizontal="left"/>
    </xf>
    <xf numFmtId="0" fontId="47" fillId="6" borderId="60" xfId="0" applyFont="1" applyFill="1" applyBorder="1" applyAlignment="1">
      <alignment horizontal="left"/>
    </xf>
    <xf numFmtId="0" fontId="46" fillId="0" borderId="30" xfId="0" applyFont="1" applyBorder="1" applyAlignment="1">
      <alignment horizontal="left"/>
    </xf>
    <xf numFmtId="0" fontId="46" fillId="0" borderId="41" xfId="0" applyFont="1" applyBorder="1" applyAlignment="1">
      <alignment horizontal="left"/>
    </xf>
    <xf numFmtId="0" fontId="46" fillId="0" borderId="21" xfId="0" applyFont="1" applyBorder="1" applyAlignment="1">
      <alignment horizontal="left"/>
    </xf>
    <xf numFmtId="0" fontId="46" fillId="5" borderId="21" xfId="0" applyFont="1" applyFill="1" applyBorder="1" applyAlignment="1">
      <alignment horizontal="left"/>
    </xf>
    <xf numFmtId="0" fontId="46" fillId="5" borderId="19" xfId="0" applyFont="1" applyFill="1" applyBorder="1" applyAlignment="1">
      <alignment horizontal="left"/>
    </xf>
    <xf numFmtId="0" fontId="56" fillId="0" borderId="30" xfId="0" applyFont="1" applyBorder="1" applyAlignment="1">
      <alignment horizontal="left"/>
    </xf>
    <xf numFmtId="0" fontId="46" fillId="0" borderId="16" xfId="0" applyFont="1" applyBorder="1" applyAlignment="1">
      <alignment horizontal="left"/>
    </xf>
    <xf numFmtId="0" fontId="46" fillId="0" borderId="14" xfId="0" applyFont="1" applyBorder="1" applyAlignment="1">
      <alignment horizontal="left"/>
    </xf>
    <xf numFmtId="0" fontId="46" fillId="0" borderId="15" xfId="0" applyFont="1" applyBorder="1" applyAlignment="1">
      <alignment horizontal="left"/>
    </xf>
    <xf numFmtId="0" fontId="46" fillId="0" borderId="23" xfId="0" applyFont="1" applyBorder="1" applyAlignment="1">
      <alignment horizontal="left"/>
    </xf>
    <xf numFmtId="0" fontId="46" fillId="0" borderId="24" xfId="0" applyFont="1" applyBorder="1" applyAlignment="1">
      <alignment horizontal="left"/>
    </xf>
    <xf numFmtId="0" fontId="47" fillId="2" borderId="21" xfId="0" applyFont="1" applyFill="1" applyBorder="1" applyAlignment="1">
      <alignment horizontal="left"/>
    </xf>
    <xf numFmtId="0" fontId="47" fillId="2" borderId="19" xfId="0" applyFont="1" applyFill="1" applyBorder="1" applyAlignment="1">
      <alignment horizontal="left"/>
    </xf>
    <xf numFmtId="0" fontId="16" fillId="7" borderId="40" xfId="0" applyFont="1" applyFill="1" applyBorder="1" applyAlignment="1">
      <alignment horizontal="left"/>
    </xf>
    <xf numFmtId="0" fontId="16" fillId="7" borderId="20" xfId="0" applyFont="1" applyFill="1" applyBorder="1" applyAlignment="1">
      <alignment horizontal="left"/>
    </xf>
    <xf numFmtId="0" fontId="16" fillId="7" borderId="19" xfId="0" applyFont="1" applyFill="1" applyBorder="1" applyAlignment="1">
      <alignment horizontal="left"/>
    </xf>
    <xf numFmtId="0" fontId="46" fillId="7" borderId="61" xfId="0" applyFont="1" applyFill="1" applyBorder="1" applyAlignment="1">
      <alignment horizontal="left"/>
    </xf>
    <xf numFmtId="0" fontId="46" fillId="7" borderId="19" xfId="0" applyFont="1" applyFill="1" applyBorder="1" applyAlignment="1">
      <alignment horizontal="left"/>
    </xf>
    <xf numFmtId="0" fontId="46" fillId="7" borderId="20" xfId="0" applyFont="1" applyFill="1" applyBorder="1" applyAlignment="1">
      <alignment horizontal="left"/>
    </xf>
    <xf numFmtId="0" fontId="47" fillId="7" borderId="21" xfId="0" applyFont="1" applyFill="1" applyBorder="1" applyAlignment="1">
      <alignment horizontal="left"/>
    </xf>
    <xf numFmtId="0" fontId="47" fillId="7" borderId="19" xfId="0" applyFont="1" applyFill="1" applyBorder="1" applyAlignment="1">
      <alignment horizontal="left"/>
    </xf>
    <xf numFmtId="0" fontId="16" fillId="7" borderId="61" xfId="0" applyFont="1" applyFill="1" applyBorder="1" applyAlignment="1">
      <alignment horizontal="left"/>
    </xf>
    <xf numFmtId="0" fontId="47" fillId="7" borderId="20" xfId="0" applyFont="1" applyFill="1" applyBorder="1" applyAlignment="1">
      <alignment horizontal="left"/>
    </xf>
    <xf numFmtId="0" fontId="46" fillId="0" borderId="53" xfId="0" applyFont="1" applyBorder="1" applyAlignment="1">
      <alignment horizontal="left"/>
    </xf>
    <xf numFmtId="0" fontId="46" fillId="0" borderId="40" xfId="0" applyFont="1" applyBorder="1" applyAlignment="1">
      <alignment horizontal="left" wrapText="1"/>
    </xf>
    <xf numFmtId="0" fontId="54" fillId="0" borderId="44" xfId="0" applyFont="1" applyBorder="1" applyAlignment="1">
      <alignment horizontal="left" wrapText="1"/>
    </xf>
    <xf numFmtId="0" fontId="57" fillId="0" borderId="44" xfId="0" applyFont="1" applyBorder="1" applyAlignment="1">
      <alignment horizontal="left" wrapText="1"/>
    </xf>
    <xf numFmtId="0" fontId="46" fillId="0" borderId="67" xfId="0" applyFont="1" applyBorder="1" applyAlignment="1">
      <alignment horizontal="left"/>
    </xf>
    <xf numFmtId="0" fontId="46" fillId="0" borderId="50" xfId="0" applyFont="1" applyBorder="1" applyAlignment="1">
      <alignment horizontal="left"/>
    </xf>
    <xf numFmtId="0" fontId="57" fillId="6" borderId="60" xfId="0" applyFont="1" applyFill="1" applyBorder="1" applyAlignment="1">
      <alignment horizontal="left"/>
    </xf>
    <xf numFmtId="0" fontId="46" fillId="7" borderId="21" xfId="0" applyFont="1" applyFill="1" applyBorder="1" applyAlignment="1">
      <alignment horizontal="left"/>
    </xf>
    <xf numFmtId="0" fontId="46" fillId="0" borderId="40" xfId="0" applyFont="1" applyBorder="1" applyAlignment="1">
      <alignment horizontal="left"/>
    </xf>
    <xf numFmtId="0" fontId="1" fillId="0" borderId="0" xfId="0" applyFont="1"/>
    <xf numFmtId="164" fontId="0" fillId="0" borderId="0" xfId="0" applyNumberFormat="1"/>
    <xf numFmtId="165" fontId="1" fillId="0" borderId="0" xfId="0" applyNumberFormat="1" applyFont="1"/>
    <xf numFmtId="164" fontId="1" fillId="0" borderId="0" xfId="0" applyNumberFormat="1" applyFont="1"/>
    <xf numFmtId="0" fontId="56" fillId="0" borderId="49" xfId="0" applyFont="1" applyBorder="1" applyAlignment="1">
      <alignment horizontal="left"/>
    </xf>
    <xf numFmtId="0" fontId="56" fillId="0" borderId="19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28" fillId="0" borderId="3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74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28" fillId="0" borderId="53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164" fontId="28" fillId="0" borderId="30" xfId="0" applyNumberFormat="1" applyFont="1" applyBorder="1" applyAlignment="1">
      <alignment horizontal="center"/>
    </xf>
    <xf numFmtId="0" fontId="28" fillId="0" borderId="91" xfId="0" applyFont="1" applyBorder="1" applyAlignment="1">
      <alignment horizontal="center"/>
    </xf>
    <xf numFmtId="0" fontId="28" fillId="0" borderId="106" xfId="0" applyFont="1" applyBorder="1" applyAlignment="1">
      <alignment horizontal="center"/>
    </xf>
    <xf numFmtId="0" fontId="28" fillId="0" borderId="107" xfId="0" applyFont="1" applyBorder="1" applyAlignment="1">
      <alignment horizontal="center"/>
    </xf>
    <xf numFmtId="0" fontId="28" fillId="0" borderId="108" xfId="0" applyFont="1" applyBorder="1" applyAlignment="1">
      <alignment horizontal="center"/>
    </xf>
    <xf numFmtId="0" fontId="28" fillId="0" borderId="101" xfId="0" applyFont="1" applyBorder="1" applyAlignment="1">
      <alignment horizontal="center"/>
    </xf>
    <xf numFmtId="0" fontId="59" fillId="0" borderId="16" xfId="0" applyFont="1" applyBorder="1" applyAlignment="1">
      <alignment horizontal="center"/>
    </xf>
    <xf numFmtId="0" fontId="59" fillId="0" borderId="14" xfId="0" applyFont="1" applyBorder="1" applyAlignment="1">
      <alignment horizontal="center"/>
    </xf>
    <xf numFmtId="0" fontId="59" fillId="0" borderId="17" xfId="0" applyFont="1" applyBorder="1" applyAlignment="1">
      <alignment horizontal="center"/>
    </xf>
    <xf numFmtId="0" fontId="58" fillId="0" borderId="16" xfId="0" applyFont="1" applyBorder="1" applyAlignment="1">
      <alignment horizontal="center"/>
    </xf>
    <xf numFmtId="0" fontId="58" fillId="0" borderId="14" xfId="0" applyFont="1" applyBorder="1" applyAlignment="1">
      <alignment horizontal="center"/>
    </xf>
    <xf numFmtId="0" fontId="58" fillId="0" borderId="17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3" fillId="0" borderId="73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74" xfId="0" applyFont="1" applyBorder="1" applyAlignment="1">
      <alignment horizontal="center"/>
    </xf>
    <xf numFmtId="0" fontId="49" fillId="0" borderId="38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55" fillId="6" borderId="61" xfId="0" applyFont="1" applyFill="1" applyBorder="1" applyAlignment="1">
      <alignment horizontal="center" vertical="center"/>
    </xf>
    <xf numFmtId="0" fontId="55" fillId="6" borderId="19" xfId="0" applyFont="1" applyFill="1" applyBorder="1" applyAlignment="1">
      <alignment horizontal="center" vertical="center"/>
    </xf>
    <xf numFmtId="0" fontId="55" fillId="6" borderId="60" xfId="0" applyFont="1" applyFill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4" fillId="6" borderId="61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6" borderId="60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left" vertical="center" textRotation="90"/>
    </xf>
    <xf numFmtId="0" fontId="14" fillId="0" borderId="39" xfId="0" applyFont="1" applyBorder="1" applyAlignment="1">
      <alignment horizontal="left" vertical="center"/>
    </xf>
    <xf numFmtId="0" fontId="15" fillId="0" borderId="42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0" fontId="14" fillId="0" borderId="41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textRotation="90"/>
    </xf>
    <xf numFmtId="0" fontId="15" fillId="0" borderId="40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2">
    <cellStyle name="Bueno" xfId="1" builtinId="26"/>
    <cellStyle name="Normal" xfId="0" builtinId="0"/>
  </cellStyles>
  <dxfs count="9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fgColor theme="1"/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1"/>
          <bgColor rgb="FF92D05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1"/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1"/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1"/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1"/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1"/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1"/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1"/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1"/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</xdr:colOff>
      <xdr:row>0</xdr:row>
      <xdr:rowOff>20261</xdr:rowOff>
    </xdr:from>
    <xdr:to>
      <xdr:col>33</xdr:col>
      <xdr:colOff>394607</xdr:colOff>
      <xdr:row>3</xdr:row>
      <xdr:rowOff>27215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605425" y="20261"/>
          <a:ext cx="2003099" cy="864204"/>
          <a:chOff x="9214" y="9759"/>
          <a:chExt cx="1751" cy="639"/>
        </a:xfrm>
      </xdr:grpSpPr>
      <xdr:sp macro="" textlink="">
        <xdr:nvSpPr>
          <xdr:cNvPr id="3" name="Freeform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9220" y="9886"/>
            <a:ext cx="441" cy="458"/>
          </a:xfrm>
          <a:custGeom>
            <a:avLst/>
            <a:gdLst/>
            <a:ahLst/>
            <a:cxnLst>
              <a:cxn ang="0">
                <a:pos x="126" y="458"/>
              </a:cxn>
              <a:cxn ang="0">
                <a:pos x="150" y="455"/>
              </a:cxn>
              <a:cxn ang="0">
                <a:pos x="171" y="449"/>
              </a:cxn>
              <a:cxn ang="0">
                <a:pos x="188" y="440"/>
              </a:cxn>
              <a:cxn ang="0">
                <a:pos x="209" y="432"/>
              </a:cxn>
              <a:cxn ang="0">
                <a:pos x="226" y="420"/>
              </a:cxn>
              <a:cxn ang="0">
                <a:pos x="244" y="409"/>
              </a:cxn>
              <a:cxn ang="0">
                <a:pos x="262" y="394"/>
              </a:cxn>
              <a:cxn ang="0">
                <a:pos x="277" y="383"/>
              </a:cxn>
              <a:cxn ang="0">
                <a:pos x="294" y="371"/>
              </a:cxn>
              <a:cxn ang="0">
                <a:pos x="312" y="360"/>
              </a:cxn>
              <a:cxn ang="0">
                <a:pos x="329" y="351"/>
              </a:cxn>
              <a:cxn ang="0">
                <a:pos x="350" y="345"/>
              </a:cxn>
              <a:cxn ang="0">
                <a:pos x="371" y="339"/>
              </a:cxn>
              <a:cxn ang="0">
                <a:pos x="391" y="339"/>
              </a:cxn>
              <a:cxn ang="0">
                <a:pos x="415" y="342"/>
              </a:cxn>
              <a:cxn ang="0">
                <a:pos x="441" y="351"/>
              </a:cxn>
              <a:cxn ang="0">
                <a:pos x="306" y="17"/>
              </a:cxn>
              <a:cxn ang="0">
                <a:pos x="285" y="5"/>
              </a:cxn>
              <a:cxn ang="0">
                <a:pos x="268" y="2"/>
              </a:cxn>
              <a:cxn ang="0">
                <a:pos x="247" y="0"/>
              </a:cxn>
              <a:cxn ang="0">
                <a:pos x="229" y="2"/>
              </a:cxn>
              <a:cxn ang="0">
                <a:pos x="212" y="8"/>
              </a:cxn>
              <a:cxn ang="0">
                <a:pos x="194" y="17"/>
              </a:cxn>
              <a:cxn ang="0">
                <a:pos x="176" y="26"/>
              </a:cxn>
              <a:cxn ang="0">
                <a:pos x="159" y="37"/>
              </a:cxn>
              <a:cxn ang="0">
                <a:pos x="141" y="49"/>
              </a:cxn>
              <a:cxn ang="0">
                <a:pos x="121" y="60"/>
              </a:cxn>
              <a:cxn ang="0">
                <a:pos x="100" y="74"/>
              </a:cxn>
              <a:cxn ang="0">
                <a:pos x="79" y="86"/>
              </a:cxn>
              <a:cxn ang="0">
                <a:pos x="59" y="98"/>
              </a:cxn>
              <a:cxn ang="0">
                <a:pos x="35" y="109"/>
              </a:cxn>
              <a:cxn ang="0">
                <a:pos x="12" y="118"/>
              </a:cxn>
            </a:cxnLst>
            <a:rect l="0" t="0" r="r" b="b"/>
            <a:pathLst>
              <a:path w="441" h="458">
                <a:moveTo>
                  <a:pt x="0" y="121"/>
                </a:moveTo>
                <a:lnTo>
                  <a:pt x="126" y="458"/>
                </a:lnTo>
                <a:lnTo>
                  <a:pt x="138" y="458"/>
                </a:lnTo>
                <a:lnTo>
                  <a:pt x="150" y="455"/>
                </a:lnTo>
                <a:lnTo>
                  <a:pt x="159" y="452"/>
                </a:lnTo>
                <a:lnTo>
                  <a:pt x="171" y="449"/>
                </a:lnTo>
                <a:lnTo>
                  <a:pt x="179" y="446"/>
                </a:lnTo>
                <a:lnTo>
                  <a:pt x="188" y="440"/>
                </a:lnTo>
                <a:lnTo>
                  <a:pt x="200" y="437"/>
                </a:lnTo>
                <a:lnTo>
                  <a:pt x="209" y="432"/>
                </a:lnTo>
                <a:lnTo>
                  <a:pt x="218" y="426"/>
                </a:lnTo>
                <a:lnTo>
                  <a:pt x="226" y="420"/>
                </a:lnTo>
                <a:lnTo>
                  <a:pt x="235" y="414"/>
                </a:lnTo>
                <a:lnTo>
                  <a:pt x="244" y="409"/>
                </a:lnTo>
                <a:lnTo>
                  <a:pt x="253" y="400"/>
                </a:lnTo>
                <a:lnTo>
                  <a:pt x="262" y="394"/>
                </a:lnTo>
                <a:lnTo>
                  <a:pt x="268" y="388"/>
                </a:lnTo>
                <a:lnTo>
                  <a:pt x="277" y="383"/>
                </a:lnTo>
                <a:lnTo>
                  <a:pt x="285" y="377"/>
                </a:lnTo>
                <a:lnTo>
                  <a:pt x="294" y="371"/>
                </a:lnTo>
                <a:lnTo>
                  <a:pt x="303" y="365"/>
                </a:lnTo>
                <a:lnTo>
                  <a:pt x="312" y="360"/>
                </a:lnTo>
                <a:lnTo>
                  <a:pt x="321" y="354"/>
                </a:lnTo>
                <a:lnTo>
                  <a:pt x="329" y="351"/>
                </a:lnTo>
                <a:lnTo>
                  <a:pt x="341" y="348"/>
                </a:lnTo>
                <a:lnTo>
                  <a:pt x="350" y="345"/>
                </a:lnTo>
                <a:lnTo>
                  <a:pt x="359" y="342"/>
                </a:lnTo>
                <a:lnTo>
                  <a:pt x="371" y="339"/>
                </a:lnTo>
                <a:lnTo>
                  <a:pt x="382" y="339"/>
                </a:lnTo>
                <a:lnTo>
                  <a:pt x="391" y="339"/>
                </a:lnTo>
                <a:lnTo>
                  <a:pt x="403" y="339"/>
                </a:lnTo>
                <a:lnTo>
                  <a:pt x="415" y="342"/>
                </a:lnTo>
                <a:lnTo>
                  <a:pt x="430" y="345"/>
                </a:lnTo>
                <a:lnTo>
                  <a:pt x="441" y="351"/>
                </a:lnTo>
                <a:lnTo>
                  <a:pt x="318" y="23"/>
                </a:lnTo>
                <a:lnTo>
                  <a:pt x="306" y="17"/>
                </a:lnTo>
                <a:lnTo>
                  <a:pt x="297" y="11"/>
                </a:lnTo>
                <a:lnTo>
                  <a:pt x="285" y="5"/>
                </a:lnTo>
                <a:lnTo>
                  <a:pt x="277" y="2"/>
                </a:lnTo>
                <a:lnTo>
                  <a:pt x="268" y="2"/>
                </a:lnTo>
                <a:lnTo>
                  <a:pt x="256" y="0"/>
                </a:lnTo>
                <a:lnTo>
                  <a:pt x="247" y="0"/>
                </a:lnTo>
                <a:lnTo>
                  <a:pt x="238" y="2"/>
                </a:lnTo>
                <a:lnTo>
                  <a:pt x="229" y="2"/>
                </a:lnTo>
                <a:lnTo>
                  <a:pt x="221" y="5"/>
                </a:lnTo>
                <a:lnTo>
                  <a:pt x="212" y="8"/>
                </a:lnTo>
                <a:lnTo>
                  <a:pt x="203" y="11"/>
                </a:lnTo>
                <a:lnTo>
                  <a:pt x="194" y="17"/>
                </a:lnTo>
                <a:lnTo>
                  <a:pt x="185" y="20"/>
                </a:lnTo>
                <a:lnTo>
                  <a:pt x="176" y="26"/>
                </a:lnTo>
                <a:lnTo>
                  <a:pt x="168" y="31"/>
                </a:lnTo>
                <a:lnTo>
                  <a:pt x="159" y="37"/>
                </a:lnTo>
                <a:lnTo>
                  <a:pt x="150" y="43"/>
                </a:lnTo>
                <a:lnTo>
                  <a:pt x="141" y="49"/>
                </a:lnTo>
                <a:lnTo>
                  <a:pt x="129" y="54"/>
                </a:lnTo>
                <a:lnTo>
                  <a:pt x="121" y="60"/>
                </a:lnTo>
                <a:lnTo>
                  <a:pt x="112" y="69"/>
                </a:lnTo>
                <a:lnTo>
                  <a:pt x="100" y="74"/>
                </a:lnTo>
                <a:lnTo>
                  <a:pt x="91" y="80"/>
                </a:lnTo>
                <a:lnTo>
                  <a:pt x="79" y="86"/>
                </a:lnTo>
                <a:lnTo>
                  <a:pt x="71" y="92"/>
                </a:lnTo>
                <a:lnTo>
                  <a:pt x="59" y="98"/>
                </a:lnTo>
                <a:lnTo>
                  <a:pt x="47" y="103"/>
                </a:lnTo>
                <a:lnTo>
                  <a:pt x="35" y="109"/>
                </a:lnTo>
                <a:lnTo>
                  <a:pt x="23" y="112"/>
                </a:lnTo>
                <a:lnTo>
                  <a:pt x="12" y="118"/>
                </a:lnTo>
                <a:lnTo>
                  <a:pt x="0" y="1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9214" y="10007"/>
            <a:ext cx="135" cy="339"/>
          </a:xfrm>
          <a:custGeom>
            <a:avLst/>
            <a:gdLst/>
            <a:ahLst/>
            <a:cxnLst>
              <a:cxn ang="0">
                <a:pos x="132" y="334"/>
              </a:cxn>
              <a:cxn ang="0">
                <a:pos x="135" y="337"/>
              </a:cxn>
              <a:cxn ang="0">
                <a:pos x="9" y="0"/>
              </a:cxn>
              <a:cxn ang="0">
                <a:pos x="0" y="0"/>
              </a:cxn>
              <a:cxn ang="0">
                <a:pos x="130" y="339"/>
              </a:cxn>
              <a:cxn ang="0">
                <a:pos x="132" y="339"/>
              </a:cxn>
              <a:cxn ang="0">
                <a:pos x="130" y="339"/>
              </a:cxn>
              <a:cxn ang="0">
                <a:pos x="130" y="339"/>
              </a:cxn>
              <a:cxn ang="0">
                <a:pos x="132" y="339"/>
              </a:cxn>
              <a:cxn ang="0">
                <a:pos x="135" y="339"/>
              </a:cxn>
              <a:cxn ang="0">
                <a:pos x="135" y="337"/>
              </a:cxn>
              <a:cxn ang="0">
                <a:pos x="132" y="334"/>
              </a:cxn>
            </a:cxnLst>
            <a:rect l="0" t="0" r="r" b="b"/>
            <a:pathLst>
              <a:path w="135" h="339">
                <a:moveTo>
                  <a:pt x="132" y="334"/>
                </a:moveTo>
                <a:lnTo>
                  <a:pt x="135" y="337"/>
                </a:lnTo>
                <a:lnTo>
                  <a:pt x="9" y="0"/>
                </a:lnTo>
                <a:lnTo>
                  <a:pt x="0" y="0"/>
                </a:lnTo>
                <a:lnTo>
                  <a:pt x="130" y="339"/>
                </a:lnTo>
                <a:lnTo>
                  <a:pt x="132" y="339"/>
                </a:lnTo>
                <a:lnTo>
                  <a:pt x="130" y="339"/>
                </a:lnTo>
                <a:lnTo>
                  <a:pt x="130" y="339"/>
                </a:lnTo>
                <a:lnTo>
                  <a:pt x="132" y="339"/>
                </a:lnTo>
                <a:lnTo>
                  <a:pt x="135" y="339"/>
                </a:lnTo>
                <a:lnTo>
                  <a:pt x="135" y="337"/>
                </a:lnTo>
                <a:lnTo>
                  <a:pt x="132" y="33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9346" y="10223"/>
            <a:ext cx="318" cy="123"/>
          </a:xfrm>
          <a:custGeom>
            <a:avLst/>
            <a:gdLst/>
            <a:ahLst/>
            <a:cxnLst>
              <a:cxn ang="0">
                <a:pos x="315" y="11"/>
              </a:cxn>
              <a:cxn ang="0">
                <a:pos x="292" y="2"/>
              </a:cxn>
              <a:cxn ang="0">
                <a:pos x="265" y="0"/>
              </a:cxn>
              <a:cxn ang="0">
                <a:pos x="245" y="0"/>
              </a:cxn>
              <a:cxn ang="0">
                <a:pos x="224" y="2"/>
              </a:cxn>
              <a:cxn ang="0">
                <a:pos x="203" y="11"/>
              </a:cxn>
              <a:cxn ang="0">
                <a:pos x="183" y="20"/>
              </a:cxn>
              <a:cxn ang="0">
                <a:pos x="165" y="31"/>
              </a:cxn>
              <a:cxn ang="0">
                <a:pos x="151" y="43"/>
              </a:cxn>
              <a:cxn ang="0">
                <a:pos x="133" y="54"/>
              </a:cxn>
              <a:cxn ang="0">
                <a:pos x="115" y="69"/>
              </a:cxn>
              <a:cxn ang="0">
                <a:pos x="98" y="80"/>
              </a:cxn>
              <a:cxn ang="0">
                <a:pos x="80" y="92"/>
              </a:cxn>
              <a:cxn ang="0">
                <a:pos x="62" y="100"/>
              </a:cxn>
              <a:cxn ang="0">
                <a:pos x="42" y="109"/>
              </a:cxn>
              <a:cxn ang="0">
                <a:pos x="21" y="115"/>
              </a:cxn>
              <a:cxn ang="0">
                <a:pos x="0" y="118"/>
              </a:cxn>
              <a:cxn ang="0">
                <a:pos x="12" y="123"/>
              </a:cxn>
              <a:cxn ang="0">
                <a:pos x="33" y="121"/>
              </a:cxn>
              <a:cxn ang="0">
                <a:pos x="53" y="112"/>
              </a:cxn>
              <a:cxn ang="0">
                <a:pos x="74" y="103"/>
              </a:cxn>
              <a:cxn ang="0">
                <a:pos x="92" y="92"/>
              </a:cxn>
              <a:cxn ang="0">
                <a:pos x="109" y="80"/>
              </a:cxn>
              <a:cxn ang="0">
                <a:pos x="127" y="66"/>
              </a:cxn>
              <a:cxn ang="0">
                <a:pos x="145" y="54"/>
              </a:cxn>
              <a:cxn ang="0">
                <a:pos x="162" y="43"/>
              </a:cxn>
              <a:cxn ang="0">
                <a:pos x="180" y="31"/>
              </a:cxn>
              <a:cxn ang="0">
                <a:pos x="198" y="20"/>
              </a:cxn>
              <a:cxn ang="0">
                <a:pos x="215" y="14"/>
              </a:cxn>
              <a:cxn ang="0">
                <a:pos x="233" y="8"/>
              </a:cxn>
              <a:cxn ang="0">
                <a:pos x="253" y="5"/>
              </a:cxn>
              <a:cxn ang="0">
                <a:pos x="277" y="8"/>
              </a:cxn>
              <a:cxn ang="0">
                <a:pos x="301" y="14"/>
              </a:cxn>
              <a:cxn ang="0">
                <a:pos x="318" y="14"/>
              </a:cxn>
              <a:cxn ang="0">
                <a:pos x="315" y="17"/>
              </a:cxn>
              <a:cxn ang="0">
                <a:pos x="318" y="11"/>
              </a:cxn>
              <a:cxn ang="0">
                <a:pos x="312" y="14"/>
              </a:cxn>
            </a:cxnLst>
            <a:rect l="0" t="0" r="r" b="b"/>
            <a:pathLst>
              <a:path w="318" h="123">
                <a:moveTo>
                  <a:pt x="312" y="14"/>
                </a:moveTo>
                <a:lnTo>
                  <a:pt x="315" y="11"/>
                </a:lnTo>
                <a:lnTo>
                  <a:pt x="304" y="5"/>
                </a:lnTo>
                <a:lnTo>
                  <a:pt x="292" y="2"/>
                </a:lnTo>
                <a:lnTo>
                  <a:pt x="277" y="0"/>
                </a:lnTo>
                <a:lnTo>
                  <a:pt x="265" y="0"/>
                </a:lnTo>
                <a:lnTo>
                  <a:pt x="253" y="0"/>
                </a:lnTo>
                <a:lnTo>
                  <a:pt x="245" y="0"/>
                </a:lnTo>
                <a:lnTo>
                  <a:pt x="233" y="0"/>
                </a:lnTo>
                <a:lnTo>
                  <a:pt x="224" y="2"/>
                </a:lnTo>
                <a:lnTo>
                  <a:pt x="212" y="5"/>
                </a:lnTo>
                <a:lnTo>
                  <a:pt x="203" y="11"/>
                </a:lnTo>
                <a:lnTo>
                  <a:pt x="195" y="14"/>
                </a:lnTo>
                <a:lnTo>
                  <a:pt x="183" y="20"/>
                </a:lnTo>
                <a:lnTo>
                  <a:pt x="174" y="25"/>
                </a:lnTo>
                <a:lnTo>
                  <a:pt x="165" y="31"/>
                </a:lnTo>
                <a:lnTo>
                  <a:pt x="156" y="37"/>
                </a:lnTo>
                <a:lnTo>
                  <a:pt x="151" y="43"/>
                </a:lnTo>
                <a:lnTo>
                  <a:pt x="142" y="49"/>
                </a:lnTo>
                <a:lnTo>
                  <a:pt x="133" y="54"/>
                </a:lnTo>
                <a:lnTo>
                  <a:pt x="124" y="60"/>
                </a:lnTo>
                <a:lnTo>
                  <a:pt x="115" y="69"/>
                </a:lnTo>
                <a:lnTo>
                  <a:pt x="106" y="74"/>
                </a:lnTo>
                <a:lnTo>
                  <a:pt x="98" y="80"/>
                </a:lnTo>
                <a:lnTo>
                  <a:pt x="89" y="86"/>
                </a:lnTo>
                <a:lnTo>
                  <a:pt x="80" y="92"/>
                </a:lnTo>
                <a:lnTo>
                  <a:pt x="71" y="97"/>
                </a:lnTo>
                <a:lnTo>
                  <a:pt x="62" y="100"/>
                </a:lnTo>
                <a:lnTo>
                  <a:pt x="50" y="106"/>
                </a:lnTo>
                <a:lnTo>
                  <a:pt x="42" y="109"/>
                </a:lnTo>
                <a:lnTo>
                  <a:pt x="33" y="112"/>
                </a:lnTo>
                <a:lnTo>
                  <a:pt x="21" y="115"/>
                </a:lnTo>
                <a:lnTo>
                  <a:pt x="12" y="118"/>
                </a:lnTo>
                <a:lnTo>
                  <a:pt x="0" y="118"/>
                </a:lnTo>
                <a:lnTo>
                  <a:pt x="0" y="123"/>
                </a:lnTo>
                <a:lnTo>
                  <a:pt x="12" y="123"/>
                </a:lnTo>
                <a:lnTo>
                  <a:pt x="24" y="121"/>
                </a:lnTo>
                <a:lnTo>
                  <a:pt x="33" y="121"/>
                </a:lnTo>
                <a:lnTo>
                  <a:pt x="45" y="115"/>
                </a:lnTo>
                <a:lnTo>
                  <a:pt x="53" y="112"/>
                </a:lnTo>
                <a:lnTo>
                  <a:pt x="65" y="109"/>
                </a:lnTo>
                <a:lnTo>
                  <a:pt x="74" y="103"/>
                </a:lnTo>
                <a:lnTo>
                  <a:pt x="83" y="97"/>
                </a:lnTo>
                <a:lnTo>
                  <a:pt x="92" y="92"/>
                </a:lnTo>
                <a:lnTo>
                  <a:pt x="100" y="86"/>
                </a:lnTo>
                <a:lnTo>
                  <a:pt x="109" y="80"/>
                </a:lnTo>
                <a:lnTo>
                  <a:pt x="118" y="74"/>
                </a:lnTo>
                <a:lnTo>
                  <a:pt x="127" y="66"/>
                </a:lnTo>
                <a:lnTo>
                  <a:pt x="136" y="60"/>
                </a:lnTo>
                <a:lnTo>
                  <a:pt x="145" y="54"/>
                </a:lnTo>
                <a:lnTo>
                  <a:pt x="153" y="49"/>
                </a:lnTo>
                <a:lnTo>
                  <a:pt x="162" y="43"/>
                </a:lnTo>
                <a:lnTo>
                  <a:pt x="171" y="37"/>
                </a:lnTo>
                <a:lnTo>
                  <a:pt x="180" y="31"/>
                </a:lnTo>
                <a:lnTo>
                  <a:pt x="189" y="25"/>
                </a:lnTo>
                <a:lnTo>
                  <a:pt x="198" y="20"/>
                </a:lnTo>
                <a:lnTo>
                  <a:pt x="206" y="17"/>
                </a:lnTo>
                <a:lnTo>
                  <a:pt x="215" y="14"/>
                </a:lnTo>
                <a:lnTo>
                  <a:pt x="224" y="11"/>
                </a:lnTo>
                <a:lnTo>
                  <a:pt x="233" y="8"/>
                </a:lnTo>
                <a:lnTo>
                  <a:pt x="245" y="8"/>
                </a:lnTo>
                <a:lnTo>
                  <a:pt x="253" y="5"/>
                </a:lnTo>
                <a:lnTo>
                  <a:pt x="265" y="5"/>
                </a:lnTo>
                <a:lnTo>
                  <a:pt x="277" y="8"/>
                </a:lnTo>
                <a:lnTo>
                  <a:pt x="289" y="11"/>
                </a:lnTo>
                <a:lnTo>
                  <a:pt x="301" y="14"/>
                </a:lnTo>
                <a:lnTo>
                  <a:pt x="315" y="17"/>
                </a:lnTo>
                <a:lnTo>
                  <a:pt x="318" y="14"/>
                </a:lnTo>
                <a:lnTo>
                  <a:pt x="315" y="17"/>
                </a:lnTo>
                <a:lnTo>
                  <a:pt x="315" y="17"/>
                </a:lnTo>
                <a:lnTo>
                  <a:pt x="318" y="14"/>
                </a:lnTo>
                <a:lnTo>
                  <a:pt x="318" y="11"/>
                </a:lnTo>
                <a:lnTo>
                  <a:pt x="315" y="11"/>
                </a:lnTo>
                <a:lnTo>
                  <a:pt x="312" y="1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9535" y="9903"/>
            <a:ext cx="129" cy="334"/>
          </a:xfrm>
          <a:custGeom>
            <a:avLst/>
            <a:gdLst/>
            <a:ahLst/>
            <a:cxnLst>
              <a:cxn ang="0">
                <a:pos x="0" y="9"/>
              </a:cxn>
              <a:cxn ang="0">
                <a:pos x="0" y="6"/>
              </a:cxn>
              <a:cxn ang="0">
                <a:pos x="123" y="334"/>
              </a:cxn>
              <a:cxn ang="0">
                <a:pos x="129" y="334"/>
              </a:cxn>
              <a:cxn ang="0">
                <a:pos x="6" y="3"/>
              </a:cxn>
              <a:cxn ang="0">
                <a:pos x="3" y="3"/>
              </a:cxn>
              <a:cxn ang="0">
                <a:pos x="6" y="3"/>
              </a:cxn>
              <a:cxn ang="0">
                <a:pos x="3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9"/>
              </a:cxn>
            </a:cxnLst>
            <a:rect l="0" t="0" r="r" b="b"/>
            <a:pathLst>
              <a:path w="129" h="334">
                <a:moveTo>
                  <a:pt x="0" y="9"/>
                </a:moveTo>
                <a:lnTo>
                  <a:pt x="0" y="6"/>
                </a:lnTo>
                <a:lnTo>
                  <a:pt x="123" y="334"/>
                </a:lnTo>
                <a:lnTo>
                  <a:pt x="129" y="334"/>
                </a:lnTo>
                <a:lnTo>
                  <a:pt x="6" y="3"/>
                </a:lnTo>
                <a:lnTo>
                  <a:pt x="3" y="3"/>
                </a:lnTo>
                <a:lnTo>
                  <a:pt x="6" y="3"/>
                </a:lnTo>
                <a:lnTo>
                  <a:pt x="3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7" name="Freeform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9214" y="9883"/>
            <a:ext cx="324" cy="126"/>
          </a:xfrm>
          <a:custGeom>
            <a:avLst/>
            <a:gdLst/>
            <a:ahLst/>
            <a:cxnLst>
              <a:cxn ang="0">
                <a:pos x="6" y="126"/>
              </a:cxn>
              <a:cxn ang="0">
                <a:pos x="32" y="121"/>
              </a:cxn>
              <a:cxn ang="0">
                <a:pos x="56" y="109"/>
              </a:cxn>
              <a:cxn ang="0">
                <a:pos x="77" y="98"/>
              </a:cxn>
              <a:cxn ang="0">
                <a:pos x="100" y="86"/>
              </a:cxn>
              <a:cxn ang="0">
                <a:pos x="118" y="75"/>
              </a:cxn>
              <a:cxn ang="0">
                <a:pos x="138" y="60"/>
              </a:cxn>
              <a:cxn ang="0">
                <a:pos x="156" y="49"/>
              </a:cxn>
              <a:cxn ang="0">
                <a:pos x="177" y="37"/>
              </a:cxn>
              <a:cxn ang="0">
                <a:pos x="194" y="26"/>
              </a:cxn>
              <a:cxn ang="0">
                <a:pos x="212" y="17"/>
              </a:cxn>
              <a:cxn ang="0">
                <a:pos x="227" y="11"/>
              </a:cxn>
              <a:cxn ang="0">
                <a:pos x="244" y="8"/>
              </a:cxn>
              <a:cxn ang="0">
                <a:pos x="262" y="8"/>
              </a:cxn>
              <a:cxn ang="0">
                <a:pos x="283" y="11"/>
              </a:cxn>
              <a:cxn ang="0">
                <a:pos x="300" y="17"/>
              </a:cxn>
              <a:cxn ang="0">
                <a:pos x="321" y="29"/>
              </a:cxn>
              <a:cxn ang="0">
                <a:pos x="315" y="14"/>
              </a:cxn>
              <a:cxn ang="0">
                <a:pos x="294" y="5"/>
              </a:cxn>
              <a:cxn ang="0">
                <a:pos x="274" y="0"/>
              </a:cxn>
              <a:cxn ang="0">
                <a:pos x="253" y="0"/>
              </a:cxn>
              <a:cxn ang="0">
                <a:pos x="235" y="3"/>
              </a:cxn>
              <a:cxn ang="0">
                <a:pos x="218" y="8"/>
              </a:cxn>
              <a:cxn ang="0">
                <a:pos x="197" y="14"/>
              </a:cxn>
              <a:cxn ang="0">
                <a:pos x="180" y="26"/>
              </a:cxn>
              <a:cxn ang="0">
                <a:pos x="162" y="37"/>
              </a:cxn>
              <a:cxn ang="0">
                <a:pos x="144" y="49"/>
              </a:cxn>
              <a:cxn ang="0">
                <a:pos x="124" y="60"/>
              </a:cxn>
              <a:cxn ang="0">
                <a:pos x="106" y="75"/>
              </a:cxn>
              <a:cxn ang="0">
                <a:pos x="85" y="86"/>
              </a:cxn>
              <a:cxn ang="0">
                <a:pos x="65" y="98"/>
              </a:cxn>
              <a:cxn ang="0">
                <a:pos x="41" y="109"/>
              </a:cxn>
              <a:cxn ang="0">
                <a:pos x="18" y="118"/>
              </a:cxn>
              <a:cxn ang="0">
                <a:pos x="3" y="124"/>
              </a:cxn>
              <a:cxn ang="0">
                <a:pos x="3" y="121"/>
              </a:cxn>
              <a:cxn ang="0">
                <a:pos x="3" y="126"/>
              </a:cxn>
              <a:cxn ang="0">
                <a:pos x="9" y="124"/>
              </a:cxn>
            </a:cxnLst>
            <a:rect l="0" t="0" r="r" b="b"/>
            <a:pathLst>
              <a:path w="324" h="126">
                <a:moveTo>
                  <a:pt x="9" y="124"/>
                </a:moveTo>
                <a:lnTo>
                  <a:pt x="6" y="126"/>
                </a:lnTo>
                <a:lnTo>
                  <a:pt x="18" y="124"/>
                </a:lnTo>
                <a:lnTo>
                  <a:pt x="32" y="121"/>
                </a:lnTo>
                <a:lnTo>
                  <a:pt x="44" y="115"/>
                </a:lnTo>
                <a:lnTo>
                  <a:pt x="56" y="109"/>
                </a:lnTo>
                <a:lnTo>
                  <a:pt x="68" y="103"/>
                </a:lnTo>
                <a:lnTo>
                  <a:pt x="77" y="98"/>
                </a:lnTo>
                <a:lnTo>
                  <a:pt x="88" y="92"/>
                </a:lnTo>
                <a:lnTo>
                  <a:pt x="100" y="86"/>
                </a:lnTo>
                <a:lnTo>
                  <a:pt x="109" y="80"/>
                </a:lnTo>
                <a:lnTo>
                  <a:pt x="118" y="75"/>
                </a:lnTo>
                <a:lnTo>
                  <a:pt x="130" y="66"/>
                </a:lnTo>
                <a:lnTo>
                  <a:pt x="138" y="60"/>
                </a:lnTo>
                <a:lnTo>
                  <a:pt x="147" y="54"/>
                </a:lnTo>
                <a:lnTo>
                  <a:pt x="156" y="49"/>
                </a:lnTo>
                <a:lnTo>
                  <a:pt x="165" y="43"/>
                </a:lnTo>
                <a:lnTo>
                  <a:pt x="177" y="37"/>
                </a:lnTo>
                <a:lnTo>
                  <a:pt x="185" y="31"/>
                </a:lnTo>
                <a:lnTo>
                  <a:pt x="194" y="26"/>
                </a:lnTo>
                <a:lnTo>
                  <a:pt x="203" y="23"/>
                </a:lnTo>
                <a:lnTo>
                  <a:pt x="212" y="17"/>
                </a:lnTo>
                <a:lnTo>
                  <a:pt x="218" y="14"/>
                </a:lnTo>
                <a:lnTo>
                  <a:pt x="227" y="11"/>
                </a:lnTo>
                <a:lnTo>
                  <a:pt x="238" y="8"/>
                </a:lnTo>
                <a:lnTo>
                  <a:pt x="244" y="8"/>
                </a:lnTo>
                <a:lnTo>
                  <a:pt x="253" y="8"/>
                </a:lnTo>
                <a:lnTo>
                  <a:pt x="262" y="8"/>
                </a:lnTo>
                <a:lnTo>
                  <a:pt x="271" y="8"/>
                </a:lnTo>
                <a:lnTo>
                  <a:pt x="283" y="11"/>
                </a:lnTo>
                <a:lnTo>
                  <a:pt x="291" y="14"/>
                </a:lnTo>
                <a:lnTo>
                  <a:pt x="300" y="17"/>
                </a:lnTo>
                <a:lnTo>
                  <a:pt x="312" y="23"/>
                </a:lnTo>
                <a:lnTo>
                  <a:pt x="321" y="29"/>
                </a:lnTo>
                <a:lnTo>
                  <a:pt x="324" y="23"/>
                </a:lnTo>
                <a:lnTo>
                  <a:pt x="315" y="14"/>
                </a:lnTo>
                <a:lnTo>
                  <a:pt x="303" y="8"/>
                </a:lnTo>
                <a:lnTo>
                  <a:pt x="294" y="5"/>
                </a:lnTo>
                <a:lnTo>
                  <a:pt x="283" y="3"/>
                </a:lnTo>
                <a:lnTo>
                  <a:pt x="274" y="0"/>
                </a:lnTo>
                <a:lnTo>
                  <a:pt x="262" y="0"/>
                </a:lnTo>
                <a:lnTo>
                  <a:pt x="253" y="0"/>
                </a:lnTo>
                <a:lnTo>
                  <a:pt x="244" y="0"/>
                </a:lnTo>
                <a:lnTo>
                  <a:pt x="235" y="3"/>
                </a:lnTo>
                <a:lnTo>
                  <a:pt x="227" y="5"/>
                </a:lnTo>
                <a:lnTo>
                  <a:pt x="218" y="8"/>
                </a:lnTo>
                <a:lnTo>
                  <a:pt x="209" y="11"/>
                </a:lnTo>
                <a:lnTo>
                  <a:pt x="197" y="14"/>
                </a:lnTo>
                <a:lnTo>
                  <a:pt x="188" y="20"/>
                </a:lnTo>
                <a:lnTo>
                  <a:pt x="180" y="26"/>
                </a:lnTo>
                <a:lnTo>
                  <a:pt x="171" y="31"/>
                </a:lnTo>
                <a:lnTo>
                  <a:pt x="162" y="37"/>
                </a:lnTo>
                <a:lnTo>
                  <a:pt x="153" y="43"/>
                </a:lnTo>
                <a:lnTo>
                  <a:pt x="144" y="49"/>
                </a:lnTo>
                <a:lnTo>
                  <a:pt x="135" y="54"/>
                </a:lnTo>
                <a:lnTo>
                  <a:pt x="124" y="60"/>
                </a:lnTo>
                <a:lnTo>
                  <a:pt x="115" y="66"/>
                </a:lnTo>
                <a:lnTo>
                  <a:pt x="106" y="75"/>
                </a:lnTo>
                <a:lnTo>
                  <a:pt x="94" y="80"/>
                </a:lnTo>
                <a:lnTo>
                  <a:pt x="85" y="86"/>
                </a:lnTo>
                <a:lnTo>
                  <a:pt x="74" y="92"/>
                </a:lnTo>
                <a:lnTo>
                  <a:pt x="65" y="98"/>
                </a:lnTo>
                <a:lnTo>
                  <a:pt x="53" y="103"/>
                </a:lnTo>
                <a:lnTo>
                  <a:pt x="41" y="109"/>
                </a:lnTo>
                <a:lnTo>
                  <a:pt x="29" y="112"/>
                </a:lnTo>
                <a:lnTo>
                  <a:pt x="18" y="118"/>
                </a:lnTo>
                <a:lnTo>
                  <a:pt x="3" y="121"/>
                </a:lnTo>
                <a:lnTo>
                  <a:pt x="3" y="124"/>
                </a:lnTo>
                <a:lnTo>
                  <a:pt x="3" y="121"/>
                </a:lnTo>
                <a:lnTo>
                  <a:pt x="3" y="121"/>
                </a:lnTo>
                <a:lnTo>
                  <a:pt x="0" y="124"/>
                </a:lnTo>
                <a:lnTo>
                  <a:pt x="3" y="126"/>
                </a:lnTo>
                <a:lnTo>
                  <a:pt x="6" y="126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9305" y="10243"/>
            <a:ext cx="362" cy="155"/>
          </a:xfrm>
          <a:custGeom>
            <a:avLst/>
            <a:gdLst/>
            <a:ahLst/>
            <a:cxnLst>
              <a:cxn ang="0">
                <a:pos x="362" y="11"/>
              </a:cxn>
              <a:cxn ang="0">
                <a:pos x="350" y="8"/>
              </a:cxn>
              <a:cxn ang="0">
                <a:pos x="339" y="5"/>
              </a:cxn>
              <a:cxn ang="0">
                <a:pos x="330" y="3"/>
              </a:cxn>
              <a:cxn ang="0">
                <a:pos x="318" y="3"/>
              </a:cxn>
              <a:cxn ang="0">
                <a:pos x="309" y="0"/>
              </a:cxn>
              <a:cxn ang="0">
                <a:pos x="297" y="0"/>
              </a:cxn>
              <a:cxn ang="0">
                <a:pos x="289" y="0"/>
              </a:cxn>
              <a:cxn ang="0">
                <a:pos x="280" y="0"/>
              </a:cxn>
              <a:cxn ang="0">
                <a:pos x="271" y="3"/>
              </a:cxn>
              <a:cxn ang="0">
                <a:pos x="259" y="5"/>
              </a:cxn>
              <a:cxn ang="0">
                <a:pos x="250" y="8"/>
              </a:cxn>
              <a:cxn ang="0">
                <a:pos x="239" y="14"/>
              </a:cxn>
              <a:cxn ang="0">
                <a:pos x="230" y="20"/>
              </a:cxn>
              <a:cxn ang="0">
                <a:pos x="218" y="26"/>
              </a:cxn>
              <a:cxn ang="0">
                <a:pos x="206" y="34"/>
              </a:cxn>
              <a:cxn ang="0">
                <a:pos x="194" y="43"/>
              </a:cxn>
              <a:cxn ang="0">
                <a:pos x="183" y="52"/>
              </a:cxn>
              <a:cxn ang="0">
                <a:pos x="174" y="60"/>
              </a:cxn>
              <a:cxn ang="0">
                <a:pos x="162" y="69"/>
              </a:cxn>
              <a:cxn ang="0">
                <a:pos x="150" y="75"/>
              </a:cxn>
              <a:cxn ang="0">
                <a:pos x="136" y="83"/>
              </a:cxn>
              <a:cxn ang="0">
                <a:pos x="124" y="92"/>
              </a:cxn>
              <a:cxn ang="0">
                <a:pos x="109" y="98"/>
              </a:cxn>
              <a:cxn ang="0">
                <a:pos x="97" y="106"/>
              </a:cxn>
              <a:cxn ang="0">
                <a:pos x="83" y="115"/>
              </a:cxn>
              <a:cxn ang="0">
                <a:pos x="68" y="121"/>
              </a:cxn>
              <a:cxn ang="0">
                <a:pos x="56" y="126"/>
              </a:cxn>
              <a:cxn ang="0">
                <a:pos x="44" y="132"/>
              </a:cxn>
              <a:cxn ang="0">
                <a:pos x="30" y="138"/>
              </a:cxn>
              <a:cxn ang="0">
                <a:pos x="18" y="144"/>
              </a:cxn>
              <a:cxn ang="0">
                <a:pos x="9" y="149"/>
              </a:cxn>
              <a:cxn ang="0">
                <a:pos x="0" y="155"/>
              </a:cxn>
              <a:cxn ang="0">
                <a:pos x="362" y="11"/>
              </a:cxn>
            </a:cxnLst>
            <a:rect l="0" t="0" r="r" b="b"/>
            <a:pathLst>
              <a:path w="362" h="155">
                <a:moveTo>
                  <a:pt x="362" y="11"/>
                </a:moveTo>
                <a:lnTo>
                  <a:pt x="350" y="8"/>
                </a:lnTo>
                <a:lnTo>
                  <a:pt x="339" y="5"/>
                </a:lnTo>
                <a:lnTo>
                  <a:pt x="330" y="3"/>
                </a:lnTo>
                <a:lnTo>
                  <a:pt x="318" y="3"/>
                </a:lnTo>
                <a:lnTo>
                  <a:pt x="309" y="0"/>
                </a:lnTo>
                <a:lnTo>
                  <a:pt x="297" y="0"/>
                </a:lnTo>
                <a:lnTo>
                  <a:pt x="289" y="0"/>
                </a:lnTo>
                <a:lnTo>
                  <a:pt x="280" y="0"/>
                </a:lnTo>
                <a:lnTo>
                  <a:pt x="271" y="3"/>
                </a:lnTo>
                <a:lnTo>
                  <a:pt x="259" y="5"/>
                </a:lnTo>
                <a:lnTo>
                  <a:pt x="250" y="8"/>
                </a:lnTo>
                <a:lnTo>
                  <a:pt x="239" y="14"/>
                </a:lnTo>
                <a:lnTo>
                  <a:pt x="230" y="20"/>
                </a:lnTo>
                <a:lnTo>
                  <a:pt x="218" y="26"/>
                </a:lnTo>
                <a:lnTo>
                  <a:pt x="206" y="34"/>
                </a:lnTo>
                <a:lnTo>
                  <a:pt x="194" y="43"/>
                </a:lnTo>
                <a:lnTo>
                  <a:pt x="183" y="52"/>
                </a:lnTo>
                <a:lnTo>
                  <a:pt x="174" y="60"/>
                </a:lnTo>
                <a:lnTo>
                  <a:pt x="162" y="69"/>
                </a:lnTo>
                <a:lnTo>
                  <a:pt x="150" y="75"/>
                </a:lnTo>
                <a:lnTo>
                  <a:pt x="136" y="83"/>
                </a:lnTo>
                <a:lnTo>
                  <a:pt x="124" y="92"/>
                </a:lnTo>
                <a:lnTo>
                  <a:pt x="109" y="98"/>
                </a:lnTo>
                <a:lnTo>
                  <a:pt x="97" y="106"/>
                </a:lnTo>
                <a:lnTo>
                  <a:pt x="83" y="115"/>
                </a:lnTo>
                <a:lnTo>
                  <a:pt x="68" y="121"/>
                </a:lnTo>
                <a:lnTo>
                  <a:pt x="56" y="126"/>
                </a:lnTo>
                <a:lnTo>
                  <a:pt x="44" y="132"/>
                </a:lnTo>
                <a:lnTo>
                  <a:pt x="30" y="138"/>
                </a:lnTo>
                <a:lnTo>
                  <a:pt x="18" y="144"/>
                </a:lnTo>
                <a:lnTo>
                  <a:pt x="9" y="149"/>
                </a:lnTo>
                <a:lnTo>
                  <a:pt x="0" y="155"/>
                </a:lnTo>
                <a:lnTo>
                  <a:pt x="362" y="1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9305" y="10243"/>
            <a:ext cx="362" cy="155"/>
          </a:xfrm>
          <a:custGeom>
            <a:avLst/>
            <a:gdLst/>
            <a:ahLst/>
            <a:cxnLst>
              <a:cxn ang="0">
                <a:pos x="362" y="11"/>
              </a:cxn>
              <a:cxn ang="0">
                <a:pos x="362" y="11"/>
              </a:cxn>
              <a:cxn ang="0">
                <a:pos x="350" y="8"/>
              </a:cxn>
              <a:cxn ang="0">
                <a:pos x="339" y="5"/>
              </a:cxn>
              <a:cxn ang="0">
                <a:pos x="330" y="3"/>
              </a:cxn>
              <a:cxn ang="0">
                <a:pos x="318" y="3"/>
              </a:cxn>
              <a:cxn ang="0">
                <a:pos x="309" y="0"/>
              </a:cxn>
              <a:cxn ang="0">
                <a:pos x="297" y="0"/>
              </a:cxn>
              <a:cxn ang="0">
                <a:pos x="289" y="0"/>
              </a:cxn>
              <a:cxn ang="0">
                <a:pos x="280" y="0"/>
              </a:cxn>
              <a:cxn ang="0">
                <a:pos x="271" y="3"/>
              </a:cxn>
              <a:cxn ang="0">
                <a:pos x="259" y="5"/>
              </a:cxn>
              <a:cxn ang="0">
                <a:pos x="250" y="8"/>
              </a:cxn>
              <a:cxn ang="0">
                <a:pos x="239" y="14"/>
              </a:cxn>
              <a:cxn ang="0">
                <a:pos x="230" y="20"/>
              </a:cxn>
              <a:cxn ang="0">
                <a:pos x="218" y="26"/>
              </a:cxn>
              <a:cxn ang="0">
                <a:pos x="206" y="34"/>
              </a:cxn>
              <a:cxn ang="0">
                <a:pos x="194" y="43"/>
              </a:cxn>
              <a:cxn ang="0">
                <a:pos x="183" y="52"/>
              </a:cxn>
              <a:cxn ang="0">
                <a:pos x="174" y="60"/>
              </a:cxn>
              <a:cxn ang="0">
                <a:pos x="162" y="69"/>
              </a:cxn>
              <a:cxn ang="0">
                <a:pos x="150" y="75"/>
              </a:cxn>
              <a:cxn ang="0">
                <a:pos x="136" y="83"/>
              </a:cxn>
              <a:cxn ang="0">
                <a:pos x="124" y="92"/>
              </a:cxn>
              <a:cxn ang="0">
                <a:pos x="109" y="98"/>
              </a:cxn>
              <a:cxn ang="0">
                <a:pos x="97" y="106"/>
              </a:cxn>
              <a:cxn ang="0">
                <a:pos x="83" y="115"/>
              </a:cxn>
              <a:cxn ang="0">
                <a:pos x="68" y="121"/>
              </a:cxn>
              <a:cxn ang="0">
                <a:pos x="56" y="126"/>
              </a:cxn>
              <a:cxn ang="0">
                <a:pos x="44" y="132"/>
              </a:cxn>
              <a:cxn ang="0">
                <a:pos x="30" y="138"/>
              </a:cxn>
              <a:cxn ang="0">
                <a:pos x="18" y="144"/>
              </a:cxn>
              <a:cxn ang="0">
                <a:pos x="9" y="149"/>
              </a:cxn>
              <a:cxn ang="0">
                <a:pos x="0" y="155"/>
              </a:cxn>
              <a:cxn ang="0">
                <a:pos x="362" y="11"/>
              </a:cxn>
            </a:cxnLst>
            <a:rect l="0" t="0" r="r" b="b"/>
            <a:pathLst>
              <a:path w="362" h="155">
                <a:moveTo>
                  <a:pt x="362" y="11"/>
                </a:moveTo>
                <a:lnTo>
                  <a:pt x="362" y="11"/>
                </a:lnTo>
                <a:lnTo>
                  <a:pt x="350" y="8"/>
                </a:lnTo>
                <a:lnTo>
                  <a:pt x="339" y="5"/>
                </a:lnTo>
                <a:lnTo>
                  <a:pt x="330" y="3"/>
                </a:lnTo>
                <a:lnTo>
                  <a:pt x="318" y="3"/>
                </a:lnTo>
                <a:lnTo>
                  <a:pt x="309" y="0"/>
                </a:lnTo>
                <a:lnTo>
                  <a:pt x="297" y="0"/>
                </a:lnTo>
                <a:lnTo>
                  <a:pt x="289" y="0"/>
                </a:lnTo>
                <a:lnTo>
                  <a:pt x="280" y="0"/>
                </a:lnTo>
                <a:lnTo>
                  <a:pt x="271" y="3"/>
                </a:lnTo>
                <a:lnTo>
                  <a:pt x="259" y="5"/>
                </a:lnTo>
                <a:lnTo>
                  <a:pt x="250" y="8"/>
                </a:lnTo>
                <a:lnTo>
                  <a:pt x="239" y="14"/>
                </a:lnTo>
                <a:lnTo>
                  <a:pt x="230" y="20"/>
                </a:lnTo>
                <a:lnTo>
                  <a:pt x="218" y="26"/>
                </a:lnTo>
                <a:lnTo>
                  <a:pt x="206" y="34"/>
                </a:lnTo>
                <a:lnTo>
                  <a:pt x="194" y="43"/>
                </a:lnTo>
                <a:lnTo>
                  <a:pt x="183" y="52"/>
                </a:lnTo>
                <a:lnTo>
                  <a:pt x="174" y="60"/>
                </a:lnTo>
                <a:lnTo>
                  <a:pt x="162" y="69"/>
                </a:lnTo>
                <a:lnTo>
                  <a:pt x="150" y="75"/>
                </a:lnTo>
                <a:lnTo>
                  <a:pt x="136" y="83"/>
                </a:lnTo>
                <a:lnTo>
                  <a:pt x="124" y="92"/>
                </a:lnTo>
                <a:lnTo>
                  <a:pt x="109" y="98"/>
                </a:lnTo>
                <a:lnTo>
                  <a:pt x="97" y="106"/>
                </a:lnTo>
                <a:lnTo>
                  <a:pt x="83" y="115"/>
                </a:lnTo>
                <a:lnTo>
                  <a:pt x="68" y="121"/>
                </a:lnTo>
                <a:lnTo>
                  <a:pt x="56" y="126"/>
                </a:lnTo>
                <a:lnTo>
                  <a:pt x="44" y="132"/>
                </a:lnTo>
                <a:lnTo>
                  <a:pt x="30" y="138"/>
                </a:lnTo>
                <a:lnTo>
                  <a:pt x="18" y="144"/>
                </a:lnTo>
                <a:lnTo>
                  <a:pt x="9" y="149"/>
                </a:lnTo>
                <a:lnTo>
                  <a:pt x="0" y="155"/>
                </a:lnTo>
                <a:lnTo>
                  <a:pt x="362" y="11"/>
                </a:lnTo>
              </a:path>
            </a:pathLst>
          </a:custGeom>
          <a:noFill/>
          <a:ln w="1905">
            <a:solidFill>
              <a:srgbClr val="000000"/>
            </a:solidFill>
            <a:prstDash val="solid"/>
            <a:round/>
          </a:ln>
        </xdr:spPr>
      </xdr:sp>
      <xdr:sp macro="" textlink="">
        <xdr:nvSpPr>
          <xdr:cNvPr id="10" name="Freeform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9688" y="10107"/>
            <a:ext cx="368" cy="139"/>
          </a:xfrm>
          <a:custGeom>
            <a:avLst/>
            <a:gdLst/>
            <a:ahLst/>
            <a:cxnLst>
              <a:cxn ang="0">
                <a:pos x="0" y="139"/>
              </a:cxn>
              <a:cxn ang="0">
                <a:pos x="6" y="127"/>
              </a:cxn>
              <a:cxn ang="0">
                <a:pos x="14" y="118"/>
              </a:cxn>
              <a:cxn ang="0">
                <a:pos x="20" y="110"/>
              </a:cxn>
              <a:cxn ang="0">
                <a:pos x="26" y="101"/>
              </a:cxn>
              <a:cxn ang="0">
                <a:pos x="32" y="95"/>
              </a:cxn>
              <a:cxn ang="0">
                <a:pos x="38" y="87"/>
              </a:cxn>
              <a:cxn ang="0">
                <a:pos x="47" y="81"/>
              </a:cxn>
              <a:cxn ang="0">
                <a:pos x="56" y="75"/>
              </a:cxn>
              <a:cxn ang="0">
                <a:pos x="62" y="69"/>
              </a:cxn>
              <a:cxn ang="0">
                <a:pos x="70" y="67"/>
              </a:cxn>
              <a:cxn ang="0">
                <a:pos x="82" y="61"/>
              </a:cxn>
              <a:cxn ang="0">
                <a:pos x="91" y="58"/>
              </a:cxn>
              <a:cxn ang="0">
                <a:pos x="103" y="55"/>
              </a:cxn>
              <a:cxn ang="0">
                <a:pos x="117" y="52"/>
              </a:cxn>
              <a:cxn ang="0">
                <a:pos x="132" y="49"/>
              </a:cxn>
              <a:cxn ang="0">
                <a:pos x="147" y="49"/>
              </a:cxn>
              <a:cxn ang="0">
                <a:pos x="153" y="49"/>
              </a:cxn>
              <a:cxn ang="0">
                <a:pos x="159" y="49"/>
              </a:cxn>
              <a:cxn ang="0">
                <a:pos x="167" y="46"/>
              </a:cxn>
              <a:cxn ang="0">
                <a:pos x="173" y="46"/>
              </a:cxn>
              <a:cxn ang="0">
                <a:pos x="179" y="46"/>
              </a:cxn>
              <a:cxn ang="0">
                <a:pos x="188" y="46"/>
              </a:cxn>
              <a:cxn ang="0">
                <a:pos x="194" y="44"/>
              </a:cxn>
              <a:cxn ang="0">
                <a:pos x="203" y="44"/>
              </a:cxn>
              <a:cxn ang="0">
                <a:pos x="209" y="44"/>
              </a:cxn>
              <a:cxn ang="0">
                <a:pos x="217" y="41"/>
              </a:cxn>
              <a:cxn ang="0">
                <a:pos x="223" y="38"/>
              </a:cxn>
              <a:cxn ang="0">
                <a:pos x="232" y="38"/>
              </a:cxn>
              <a:cxn ang="0">
                <a:pos x="238" y="35"/>
              </a:cxn>
              <a:cxn ang="0">
                <a:pos x="247" y="35"/>
              </a:cxn>
              <a:cxn ang="0">
                <a:pos x="253" y="32"/>
              </a:cxn>
              <a:cxn ang="0">
                <a:pos x="262" y="29"/>
              </a:cxn>
              <a:cxn ang="0">
                <a:pos x="270" y="29"/>
              </a:cxn>
              <a:cxn ang="0">
                <a:pos x="276" y="26"/>
              </a:cxn>
              <a:cxn ang="0">
                <a:pos x="285" y="23"/>
              </a:cxn>
              <a:cxn ang="0">
                <a:pos x="291" y="23"/>
              </a:cxn>
              <a:cxn ang="0">
                <a:pos x="300" y="21"/>
              </a:cxn>
              <a:cxn ang="0">
                <a:pos x="306" y="18"/>
              </a:cxn>
              <a:cxn ang="0">
                <a:pos x="312" y="18"/>
              </a:cxn>
              <a:cxn ang="0">
                <a:pos x="318" y="15"/>
              </a:cxn>
              <a:cxn ang="0">
                <a:pos x="326" y="12"/>
              </a:cxn>
              <a:cxn ang="0">
                <a:pos x="332" y="12"/>
              </a:cxn>
              <a:cxn ang="0">
                <a:pos x="338" y="9"/>
              </a:cxn>
              <a:cxn ang="0">
                <a:pos x="344" y="6"/>
              </a:cxn>
              <a:cxn ang="0">
                <a:pos x="350" y="6"/>
              </a:cxn>
              <a:cxn ang="0">
                <a:pos x="356" y="3"/>
              </a:cxn>
              <a:cxn ang="0">
                <a:pos x="362" y="3"/>
              </a:cxn>
              <a:cxn ang="0">
                <a:pos x="368" y="0"/>
              </a:cxn>
              <a:cxn ang="0">
                <a:pos x="0" y="139"/>
              </a:cxn>
            </a:cxnLst>
            <a:rect l="0" t="0" r="r" b="b"/>
            <a:pathLst>
              <a:path w="368" h="139">
                <a:moveTo>
                  <a:pt x="0" y="139"/>
                </a:moveTo>
                <a:lnTo>
                  <a:pt x="6" y="127"/>
                </a:lnTo>
                <a:lnTo>
                  <a:pt x="14" y="118"/>
                </a:lnTo>
                <a:lnTo>
                  <a:pt x="20" y="110"/>
                </a:lnTo>
                <a:lnTo>
                  <a:pt x="26" y="101"/>
                </a:lnTo>
                <a:lnTo>
                  <a:pt x="32" y="95"/>
                </a:lnTo>
                <a:lnTo>
                  <a:pt x="38" y="87"/>
                </a:lnTo>
                <a:lnTo>
                  <a:pt x="47" y="81"/>
                </a:lnTo>
                <a:lnTo>
                  <a:pt x="56" y="75"/>
                </a:lnTo>
                <a:lnTo>
                  <a:pt x="62" y="69"/>
                </a:lnTo>
                <a:lnTo>
                  <a:pt x="70" y="67"/>
                </a:lnTo>
                <a:lnTo>
                  <a:pt x="82" y="61"/>
                </a:lnTo>
                <a:lnTo>
                  <a:pt x="91" y="58"/>
                </a:lnTo>
                <a:lnTo>
                  <a:pt x="103" y="55"/>
                </a:lnTo>
                <a:lnTo>
                  <a:pt x="117" y="52"/>
                </a:lnTo>
                <a:lnTo>
                  <a:pt x="132" y="49"/>
                </a:lnTo>
                <a:lnTo>
                  <a:pt x="147" y="49"/>
                </a:lnTo>
                <a:lnTo>
                  <a:pt x="153" y="49"/>
                </a:lnTo>
                <a:lnTo>
                  <a:pt x="159" y="49"/>
                </a:lnTo>
                <a:lnTo>
                  <a:pt x="167" y="46"/>
                </a:lnTo>
                <a:lnTo>
                  <a:pt x="173" y="46"/>
                </a:lnTo>
                <a:lnTo>
                  <a:pt x="179" y="46"/>
                </a:lnTo>
                <a:lnTo>
                  <a:pt x="188" y="46"/>
                </a:lnTo>
                <a:lnTo>
                  <a:pt x="194" y="44"/>
                </a:lnTo>
                <a:lnTo>
                  <a:pt x="203" y="44"/>
                </a:lnTo>
                <a:lnTo>
                  <a:pt x="209" y="44"/>
                </a:lnTo>
                <a:lnTo>
                  <a:pt x="217" y="41"/>
                </a:lnTo>
                <a:lnTo>
                  <a:pt x="223" y="38"/>
                </a:lnTo>
                <a:lnTo>
                  <a:pt x="232" y="38"/>
                </a:lnTo>
                <a:lnTo>
                  <a:pt x="238" y="35"/>
                </a:lnTo>
                <a:lnTo>
                  <a:pt x="247" y="35"/>
                </a:lnTo>
                <a:lnTo>
                  <a:pt x="253" y="32"/>
                </a:lnTo>
                <a:lnTo>
                  <a:pt x="262" y="29"/>
                </a:lnTo>
                <a:lnTo>
                  <a:pt x="270" y="29"/>
                </a:lnTo>
                <a:lnTo>
                  <a:pt x="276" y="26"/>
                </a:lnTo>
                <a:lnTo>
                  <a:pt x="285" y="23"/>
                </a:lnTo>
                <a:lnTo>
                  <a:pt x="291" y="23"/>
                </a:lnTo>
                <a:lnTo>
                  <a:pt x="300" y="21"/>
                </a:lnTo>
                <a:lnTo>
                  <a:pt x="306" y="18"/>
                </a:lnTo>
                <a:lnTo>
                  <a:pt x="312" y="18"/>
                </a:lnTo>
                <a:lnTo>
                  <a:pt x="318" y="15"/>
                </a:lnTo>
                <a:lnTo>
                  <a:pt x="326" y="12"/>
                </a:lnTo>
                <a:lnTo>
                  <a:pt x="332" y="12"/>
                </a:lnTo>
                <a:lnTo>
                  <a:pt x="338" y="9"/>
                </a:lnTo>
                <a:lnTo>
                  <a:pt x="344" y="6"/>
                </a:lnTo>
                <a:lnTo>
                  <a:pt x="350" y="6"/>
                </a:lnTo>
                <a:lnTo>
                  <a:pt x="356" y="3"/>
                </a:lnTo>
                <a:lnTo>
                  <a:pt x="362" y="3"/>
                </a:lnTo>
                <a:lnTo>
                  <a:pt x="368" y="0"/>
                </a:lnTo>
                <a:lnTo>
                  <a:pt x="0" y="13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9688" y="10107"/>
            <a:ext cx="368" cy="139"/>
          </a:xfrm>
          <a:custGeom>
            <a:avLst/>
            <a:gdLst/>
            <a:ahLst/>
            <a:cxnLst>
              <a:cxn ang="0">
                <a:pos x="0" y="139"/>
              </a:cxn>
              <a:cxn ang="0">
                <a:pos x="0" y="139"/>
              </a:cxn>
              <a:cxn ang="0">
                <a:pos x="6" y="127"/>
              </a:cxn>
              <a:cxn ang="0">
                <a:pos x="14" y="118"/>
              </a:cxn>
              <a:cxn ang="0">
                <a:pos x="20" y="110"/>
              </a:cxn>
              <a:cxn ang="0">
                <a:pos x="26" y="101"/>
              </a:cxn>
              <a:cxn ang="0">
                <a:pos x="32" y="95"/>
              </a:cxn>
              <a:cxn ang="0">
                <a:pos x="38" y="87"/>
              </a:cxn>
              <a:cxn ang="0">
                <a:pos x="47" y="81"/>
              </a:cxn>
              <a:cxn ang="0">
                <a:pos x="56" y="75"/>
              </a:cxn>
              <a:cxn ang="0">
                <a:pos x="62" y="69"/>
              </a:cxn>
              <a:cxn ang="0">
                <a:pos x="70" y="67"/>
              </a:cxn>
              <a:cxn ang="0">
                <a:pos x="82" y="61"/>
              </a:cxn>
              <a:cxn ang="0">
                <a:pos x="91" y="58"/>
              </a:cxn>
              <a:cxn ang="0">
                <a:pos x="103" y="55"/>
              </a:cxn>
              <a:cxn ang="0">
                <a:pos x="117" y="52"/>
              </a:cxn>
              <a:cxn ang="0">
                <a:pos x="132" y="49"/>
              </a:cxn>
              <a:cxn ang="0">
                <a:pos x="147" y="49"/>
              </a:cxn>
              <a:cxn ang="0">
                <a:pos x="153" y="49"/>
              </a:cxn>
              <a:cxn ang="0">
                <a:pos x="159" y="49"/>
              </a:cxn>
              <a:cxn ang="0">
                <a:pos x="167" y="46"/>
              </a:cxn>
              <a:cxn ang="0">
                <a:pos x="173" y="46"/>
              </a:cxn>
              <a:cxn ang="0">
                <a:pos x="179" y="46"/>
              </a:cxn>
              <a:cxn ang="0">
                <a:pos x="188" y="46"/>
              </a:cxn>
              <a:cxn ang="0">
                <a:pos x="194" y="44"/>
              </a:cxn>
              <a:cxn ang="0">
                <a:pos x="203" y="44"/>
              </a:cxn>
              <a:cxn ang="0">
                <a:pos x="209" y="44"/>
              </a:cxn>
              <a:cxn ang="0">
                <a:pos x="217" y="41"/>
              </a:cxn>
              <a:cxn ang="0">
                <a:pos x="223" y="38"/>
              </a:cxn>
              <a:cxn ang="0">
                <a:pos x="232" y="38"/>
              </a:cxn>
              <a:cxn ang="0">
                <a:pos x="238" y="35"/>
              </a:cxn>
              <a:cxn ang="0">
                <a:pos x="247" y="35"/>
              </a:cxn>
              <a:cxn ang="0">
                <a:pos x="253" y="32"/>
              </a:cxn>
              <a:cxn ang="0">
                <a:pos x="262" y="29"/>
              </a:cxn>
              <a:cxn ang="0">
                <a:pos x="270" y="29"/>
              </a:cxn>
              <a:cxn ang="0">
                <a:pos x="276" y="26"/>
              </a:cxn>
              <a:cxn ang="0">
                <a:pos x="285" y="23"/>
              </a:cxn>
              <a:cxn ang="0">
                <a:pos x="291" y="23"/>
              </a:cxn>
              <a:cxn ang="0">
                <a:pos x="300" y="21"/>
              </a:cxn>
              <a:cxn ang="0">
                <a:pos x="306" y="18"/>
              </a:cxn>
              <a:cxn ang="0">
                <a:pos x="312" y="18"/>
              </a:cxn>
              <a:cxn ang="0">
                <a:pos x="318" y="15"/>
              </a:cxn>
              <a:cxn ang="0">
                <a:pos x="326" y="12"/>
              </a:cxn>
              <a:cxn ang="0">
                <a:pos x="332" y="12"/>
              </a:cxn>
              <a:cxn ang="0">
                <a:pos x="338" y="9"/>
              </a:cxn>
              <a:cxn ang="0">
                <a:pos x="344" y="6"/>
              </a:cxn>
              <a:cxn ang="0">
                <a:pos x="350" y="6"/>
              </a:cxn>
              <a:cxn ang="0">
                <a:pos x="356" y="3"/>
              </a:cxn>
              <a:cxn ang="0">
                <a:pos x="362" y="3"/>
              </a:cxn>
              <a:cxn ang="0">
                <a:pos x="368" y="0"/>
              </a:cxn>
              <a:cxn ang="0">
                <a:pos x="0" y="139"/>
              </a:cxn>
            </a:cxnLst>
            <a:rect l="0" t="0" r="r" b="b"/>
            <a:pathLst>
              <a:path w="368" h="139">
                <a:moveTo>
                  <a:pt x="0" y="139"/>
                </a:moveTo>
                <a:lnTo>
                  <a:pt x="0" y="139"/>
                </a:lnTo>
                <a:lnTo>
                  <a:pt x="6" y="127"/>
                </a:lnTo>
                <a:lnTo>
                  <a:pt x="14" y="118"/>
                </a:lnTo>
                <a:lnTo>
                  <a:pt x="20" y="110"/>
                </a:lnTo>
                <a:lnTo>
                  <a:pt x="26" y="101"/>
                </a:lnTo>
                <a:lnTo>
                  <a:pt x="32" y="95"/>
                </a:lnTo>
                <a:lnTo>
                  <a:pt x="38" y="87"/>
                </a:lnTo>
                <a:lnTo>
                  <a:pt x="47" y="81"/>
                </a:lnTo>
                <a:lnTo>
                  <a:pt x="56" y="75"/>
                </a:lnTo>
                <a:lnTo>
                  <a:pt x="62" y="69"/>
                </a:lnTo>
                <a:lnTo>
                  <a:pt x="70" y="67"/>
                </a:lnTo>
                <a:lnTo>
                  <a:pt x="82" y="61"/>
                </a:lnTo>
                <a:lnTo>
                  <a:pt x="91" y="58"/>
                </a:lnTo>
                <a:lnTo>
                  <a:pt x="103" y="55"/>
                </a:lnTo>
                <a:lnTo>
                  <a:pt x="117" y="52"/>
                </a:lnTo>
                <a:lnTo>
                  <a:pt x="132" y="49"/>
                </a:lnTo>
                <a:lnTo>
                  <a:pt x="147" y="49"/>
                </a:lnTo>
                <a:lnTo>
                  <a:pt x="153" y="49"/>
                </a:lnTo>
                <a:lnTo>
                  <a:pt x="159" y="49"/>
                </a:lnTo>
                <a:lnTo>
                  <a:pt x="167" y="46"/>
                </a:lnTo>
                <a:lnTo>
                  <a:pt x="173" y="46"/>
                </a:lnTo>
                <a:lnTo>
                  <a:pt x="179" y="46"/>
                </a:lnTo>
                <a:lnTo>
                  <a:pt x="188" y="46"/>
                </a:lnTo>
                <a:lnTo>
                  <a:pt x="194" y="44"/>
                </a:lnTo>
                <a:lnTo>
                  <a:pt x="203" y="44"/>
                </a:lnTo>
                <a:lnTo>
                  <a:pt x="209" y="44"/>
                </a:lnTo>
                <a:lnTo>
                  <a:pt x="217" y="41"/>
                </a:lnTo>
                <a:lnTo>
                  <a:pt x="223" y="38"/>
                </a:lnTo>
                <a:lnTo>
                  <a:pt x="232" y="38"/>
                </a:lnTo>
                <a:lnTo>
                  <a:pt x="238" y="35"/>
                </a:lnTo>
                <a:lnTo>
                  <a:pt x="247" y="35"/>
                </a:lnTo>
                <a:lnTo>
                  <a:pt x="253" y="32"/>
                </a:lnTo>
                <a:lnTo>
                  <a:pt x="262" y="29"/>
                </a:lnTo>
                <a:lnTo>
                  <a:pt x="270" y="29"/>
                </a:lnTo>
                <a:lnTo>
                  <a:pt x="276" y="26"/>
                </a:lnTo>
                <a:lnTo>
                  <a:pt x="285" y="23"/>
                </a:lnTo>
                <a:lnTo>
                  <a:pt x="291" y="23"/>
                </a:lnTo>
                <a:lnTo>
                  <a:pt x="300" y="21"/>
                </a:lnTo>
                <a:lnTo>
                  <a:pt x="306" y="18"/>
                </a:lnTo>
                <a:lnTo>
                  <a:pt x="312" y="18"/>
                </a:lnTo>
                <a:lnTo>
                  <a:pt x="318" y="15"/>
                </a:lnTo>
                <a:lnTo>
                  <a:pt x="326" y="12"/>
                </a:lnTo>
                <a:lnTo>
                  <a:pt x="332" y="12"/>
                </a:lnTo>
                <a:lnTo>
                  <a:pt x="338" y="9"/>
                </a:lnTo>
                <a:lnTo>
                  <a:pt x="344" y="6"/>
                </a:lnTo>
                <a:lnTo>
                  <a:pt x="350" y="6"/>
                </a:lnTo>
                <a:lnTo>
                  <a:pt x="356" y="3"/>
                </a:lnTo>
                <a:lnTo>
                  <a:pt x="362" y="3"/>
                </a:lnTo>
                <a:lnTo>
                  <a:pt x="368" y="0"/>
                </a:lnTo>
                <a:lnTo>
                  <a:pt x="0" y="139"/>
                </a:lnTo>
              </a:path>
            </a:pathLst>
          </a:custGeom>
          <a:noFill/>
          <a:ln w="1905">
            <a:solidFill>
              <a:srgbClr val="000000"/>
            </a:solidFill>
            <a:prstDash val="solid"/>
            <a:round/>
          </a:ln>
        </xdr:spPr>
      </xdr:sp>
      <xdr:sp macro="" textlink="">
        <xdr:nvSpPr>
          <xdr:cNvPr id="12" name="Freeform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9558" y="9762"/>
            <a:ext cx="433" cy="461"/>
          </a:xfrm>
          <a:custGeom>
            <a:avLst/>
            <a:gdLst/>
            <a:ahLst/>
            <a:cxnLst>
              <a:cxn ang="0">
                <a:pos x="433" y="337"/>
              </a:cxn>
              <a:cxn ang="0">
                <a:pos x="412" y="348"/>
              </a:cxn>
              <a:cxn ang="0">
                <a:pos x="395" y="360"/>
              </a:cxn>
              <a:cxn ang="0">
                <a:pos x="374" y="366"/>
              </a:cxn>
              <a:cxn ang="0">
                <a:pos x="353" y="368"/>
              </a:cxn>
              <a:cxn ang="0">
                <a:pos x="333" y="371"/>
              </a:cxn>
              <a:cxn ang="0">
                <a:pos x="309" y="374"/>
              </a:cxn>
              <a:cxn ang="0">
                <a:pos x="289" y="377"/>
              </a:cxn>
              <a:cxn ang="0">
                <a:pos x="268" y="377"/>
              </a:cxn>
              <a:cxn ang="0">
                <a:pos x="247" y="380"/>
              </a:cxn>
              <a:cxn ang="0">
                <a:pos x="227" y="383"/>
              </a:cxn>
              <a:cxn ang="0">
                <a:pos x="206" y="389"/>
              </a:cxn>
              <a:cxn ang="0">
                <a:pos x="189" y="397"/>
              </a:cxn>
              <a:cxn ang="0">
                <a:pos x="168" y="406"/>
              </a:cxn>
              <a:cxn ang="0">
                <a:pos x="153" y="420"/>
              </a:cxn>
              <a:cxn ang="0">
                <a:pos x="139" y="440"/>
              </a:cxn>
              <a:cxn ang="0">
                <a:pos x="124" y="461"/>
              </a:cxn>
              <a:cxn ang="0">
                <a:pos x="3" y="121"/>
              </a:cxn>
              <a:cxn ang="0">
                <a:pos x="12" y="101"/>
              </a:cxn>
              <a:cxn ang="0">
                <a:pos x="24" y="86"/>
              </a:cxn>
              <a:cxn ang="0">
                <a:pos x="39" y="72"/>
              </a:cxn>
              <a:cxn ang="0">
                <a:pos x="53" y="60"/>
              </a:cxn>
              <a:cxn ang="0">
                <a:pos x="71" y="54"/>
              </a:cxn>
              <a:cxn ang="0">
                <a:pos x="89" y="49"/>
              </a:cxn>
              <a:cxn ang="0">
                <a:pos x="106" y="43"/>
              </a:cxn>
              <a:cxn ang="0">
                <a:pos x="130" y="40"/>
              </a:cxn>
              <a:cxn ang="0">
                <a:pos x="150" y="37"/>
              </a:cxn>
              <a:cxn ang="0">
                <a:pos x="174" y="34"/>
              </a:cxn>
              <a:cxn ang="0">
                <a:pos x="197" y="31"/>
              </a:cxn>
              <a:cxn ang="0">
                <a:pos x="221" y="26"/>
              </a:cxn>
              <a:cxn ang="0">
                <a:pos x="244" y="23"/>
              </a:cxn>
              <a:cxn ang="0">
                <a:pos x="268" y="14"/>
              </a:cxn>
              <a:cxn ang="0">
                <a:pos x="292" y="6"/>
              </a:cxn>
            </a:cxnLst>
            <a:rect l="0" t="0" r="r" b="b"/>
            <a:pathLst>
              <a:path w="433" h="461">
                <a:moveTo>
                  <a:pt x="303" y="0"/>
                </a:moveTo>
                <a:lnTo>
                  <a:pt x="433" y="337"/>
                </a:lnTo>
                <a:lnTo>
                  <a:pt x="424" y="342"/>
                </a:lnTo>
                <a:lnTo>
                  <a:pt x="412" y="348"/>
                </a:lnTo>
                <a:lnTo>
                  <a:pt x="403" y="354"/>
                </a:lnTo>
                <a:lnTo>
                  <a:pt x="395" y="360"/>
                </a:lnTo>
                <a:lnTo>
                  <a:pt x="383" y="363"/>
                </a:lnTo>
                <a:lnTo>
                  <a:pt x="374" y="366"/>
                </a:lnTo>
                <a:lnTo>
                  <a:pt x="362" y="368"/>
                </a:lnTo>
                <a:lnTo>
                  <a:pt x="353" y="368"/>
                </a:lnTo>
                <a:lnTo>
                  <a:pt x="342" y="371"/>
                </a:lnTo>
                <a:lnTo>
                  <a:pt x="333" y="371"/>
                </a:lnTo>
                <a:lnTo>
                  <a:pt x="321" y="374"/>
                </a:lnTo>
                <a:lnTo>
                  <a:pt x="309" y="374"/>
                </a:lnTo>
                <a:lnTo>
                  <a:pt x="300" y="374"/>
                </a:lnTo>
                <a:lnTo>
                  <a:pt x="289" y="377"/>
                </a:lnTo>
                <a:lnTo>
                  <a:pt x="280" y="377"/>
                </a:lnTo>
                <a:lnTo>
                  <a:pt x="268" y="377"/>
                </a:lnTo>
                <a:lnTo>
                  <a:pt x="256" y="380"/>
                </a:lnTo>
                <a:lnTo>
                  <a:pt x="247" y="380"/>
                </a:lnTo>
                <a:lnTo>
                  <a:pt x="236" y="380"/>
                </a:lnTo>
                <a:lnTo>
                  <a:pt x="227" y="383"/>
                </a:lnTo>
                <a:lnTo>
                  <a:pt x="215" y="386"/>
                </a:lnTo>
                <a:lnTo>
                  <a:pt x="206" y="389"/>
                </a:lnTo>
                <a:lnTo>
                  <a:pt x="197" y="391"/>
                </a:lnTo>
                <a:lnTo>
                  <a:pt x="189" y="397"/>
                </a:lnTo>
                <a:lnTo>
                  <a:pt x="180" y="400"/>
                </a:lnTo>
                <a:lnTo>
                  <a:pt x="168" y="406"/>
                </a:lnTo>
                <a:lnTo>
                  <a:pt x="162" y="414"/>
                </a:lnTo>
                <a:lnTo>
                  <a:pt x="153" y="420"/>
                </a:lnTo>
                <a:lnTo>
                  <a:pt x="144" y="429"/>
                </a:lnTo>
                <a:lnTo>
                  <a:pt x="139" y="440"/>
                </a:lnTo>
                <a:lnTo>
                  <a:pt x="130" y="449"/>
                </a:lnTo>
                <a:lnTo>
                  <a:pt x="124" y="461"/>
                </a:lnTo>
                <a:lnTo>
                  <a:pt x="0" y="132"/>
                </a:lnTo>
                <a:lnTo>
                  <a:pt x="3" y="121"/>
                </a:lnTo>
                <a:lnTo>
                  <a:pt x="6" y="112"/>
                </a:lnTo>
                <a:lnTo>
                  <a:pt x="12" y="101"/>
                </a:lnTo>
                <a:lnTo>
                  <a:pt x="18" y="92"/>
                </a:lnTo>
                <a:lnTo>
                  <a:pt x="24" y="86"/>
                </a:lnTo>
                <a:lnTo>
                  <a:pt x="30" y="78"/>
                </a:lnTo>
                <a:lnTo>
                  <a:pt x="39" y="72"/>
                </a:lnTo>
                <a:lnTo>
                  <a:pt x="44" y="66"/>
                </a:lnTo>
                <a:lnTo>
                  <a:pt x="53" y="60"/>
                </a:lnTo>
                <a:lnTo>
                  <a:pt x="59" y="57"/>
                </a:lnTo>
                <a:lnTo>
                  <a:pt x="71" y="54"/>
                </a:lnTo>
                <a:lnTo>
                  <a:pt x="80" y="52"/>
                </a:lnTo>
                <a:lnTo>
                  <a:pt x="89" y="49"/>
                </a:lnTo>
                <a:lnTo>
                  <a:pt x="97" y="46"/>
                </a:lnTo>
                <a:lnTo>
                  <a:pt x="106" y="43"/>
                </a:lnTo>
                <a:lnTo>
                  <a:pt x="118" y="43"/>
                </a:lnTo>
                <a:lnTo>
                  <a:pt x="130" y="40"/>
                </a:lnTo>
                <a:lnTo>
                  <a:pt x="139" y="37"/>
                </a:lnTo>
                <a:lnTo>
                  <a:pt x="150" y="37"/>
                </a:lnTo>
                <a:lnTo>
                  <a:pt x="162" y="34"/>
                </a:lnTo>
                <a:lnTo>
                  <a:pt x="174" y="34"/>
                </a:lnTo>
                <a:lnTo>
                  <a:pt x="186" y="31"/>
                </a:lnTo>
                <a:lnTo>
                  <a:pt x="197" y="31"/>
                </a:lnTo>
                <a:lnTo>
                  <a:pt x="209" y="29"/>
                </a:lnTo>
                <a:lnTo>
                  <a:pt x="221" y="26"/>
                </a:lnTo>
                <a:lnTo>
                  <a:pt x="233" y="26"/>
                </a:lnTo>
                <a:lnTo>
                  <a:pt x="244" y="23"/>
                </a:lnTo>
                <a:lnTo>
                  <a:pt x="256" y="17"/>
                </a:lnTo>
                <a:lnTo>
                  <a:pt x="268" y="14"/>
                </a:lnTo>
                <a:lnTo>
                  <a:pt x="280" y="11"/>
                </a:lnTo>
                <a:lnTo>
                  <a:pt x="292" y="6"/>
                </a:lnTo>
                <a:lnTo>
                  <a:pt x="30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" name="Freeform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9858" y="9759"/>
            <a:ext cx="136" cy="343"/>
          </a:xfrm>
          <a:custGeom>
            <a:avLst/>
            <a:gdLst/>
            <a:ahLst/>
            <a:cxnLst>
              <a:cxn ang="0">
                <a:pos x="130" y="337"/>
              </a:cxn>
              <a:cxn ang="0">
                <a:pos x="130" y="340"/>
              </a:cxn>
              <a:cxn ang="0">
                <a:pos x="0" y="3"/>
              </a:cxn>
              <a:cxn ang="0">
                <a:pos x="9" y="0"/>
              </a:cxn>
              <a:cxn ang="0">
                <a:pos x="136" y="340"/>
              </a:cxn>
              <a:cxn ang="0">
                <a:pos x="136" y="343"/>
              </a:cxn>
              <a:cxn ang="0">
                <a:pos x="136" y="340"/>
              </a:cxn>
              <a:cxn ang="0">
                <a:pos x="136" y="343"/>
              </a:cxn>
              <a:cxn ang="0">
                <a:pos x="133" y="343"/>
              </a:cxn>
              <a:cxn ang="0">
                <a:pos x="130" y="343"/>
              </a:cxn>
              <a:cxn ang="0">
                <a:pos x="130" y="340"/>
              </a:cxn>
              <a:cxn ang="0">
                <a:pos x="130" y="337"/>
              </a:cxn>
            </a:cxnLst>
            <a:rect l="0" t="0" r="r" b="b"/>
            <a:pathLst>
              <a:path w="136" h="343">
                <a:moveTo>
                  <a:pt x="130" y="337"/>
                </a:moveTo>
                <a:lnTo>
                  <a:pt x="130" y="340"/>
                </a:lnTo>
                <a:lnTo>
                  <a:pt x="0" y="3"/>
                </a:lnTo>
                <a:lnTo>
                  <a:pt x="9" y="0"/>
                </a:lnTo>
                <a:lnTo>
                  <a:pt x="136" y="340"/>
                </a:lnTo>
                <a:lnTo>
                  <a:pt x="136" y="343"/>
                </a:lnTo>
                <a:lnTo>
                  <a:pt x="136" y="340"/>
                </a:lnTo>
                <a:lnTo>
                  <a:pt x="136" y="343"/>
                </a:lnTo>
                <a:lnTo>
                  <a:pt x="133" y="343"/>
                </a:lnTo>
                <a:lnTo>
                  <a:pt x="130" y="343"/>
                </a:lnTo>
                <a:lnTo>
                  <a:pt x="130" y="340"/>
                </a:lnTo>
                <a:lnTo>
                  <a:pt x="130" y="33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9679" y="10096"/>
            <a:ext cx="315" cy="132"/>
          </a:xfrm>
          <a:custGeom>
            <a:avLst/>
            <a:gdLst/>
            <a:ahLst/>
            <a:cxnLst>
              <a:cxn ang="0">
                <a:pos x="0" y="127"/>
              </a:cxn>
              <a:cxn ang="0">
                <a:pos x="15" y="104"/>
              </a:cxn>
              <a:cxn ang="0">
                <a:pos x="29" y="83"/>
              </a:cxn>
              <a:cxn ang="0">
                <a:pos x="47" y="69"/>
              </a:cxn>
              <a:cxn ang="0">
                <a:pos x="65" y="57"/>
              </a:cxn>
              <a:cxn ang="0">
                <a:pos x="85" y="52"/>
              </a:cxn>
              <a:cxn ang="0">
                <a:pos x="106" y="46"/>
              </a:cxn>
              <a:cxn ang="0">
                <a:pos x="126" y="43"/>
              </a:cxn>
              <a:cxn ang="0">
                <a:pos x="147" y="40"/>
              </a:cxn>
              <a:cxn ang="0">
                <a:pos x="168" y="37"/>
              </a:cxn>
              <a:cxn ang="0">
                <a:pos x="188" y="37"/>
              </a:cxn>
              <a:cxn ang="0">
                <a:pos x="212" y="34"/>
              </a:cxn>
              <a:cxn ang="0">
                <a:pos x="232" y="32"/>
              </a:cxn>
              <a:cxn ang="0">
                <a:pos x="253" y="29"/>
              </a:cxn>
              <a:cxn ang="0">
                <a:pos x="271" y="20"/>
              </a:cxn>
              <a:cxn ang="0">
                <a:pos x="291" y="11"/>
              </a:cxn>
              <a:cxn ang="0">
                <a:pos x="309" y="0"/>
              </a:cxn>
              <a:cxn ang="0">
                <a:pos x="303" y="11"/>
              </a:cxn>
              <a:cxn ang="0">
                <a:pos x="285" y="23"/>
              </a:cxn>
              <a:cxn ang="0">
                <a:pos x="265" y="32"/>
              </a:cxn>
              <a:cxn ang="0">
                <a:pos x="244" y="37"/>
              </a:cxn>
              <a:cxn ang="0">
                <a:pos x="221" y="40"/>
              </a:cxn>
              <a:cxn ang="0">
                <a:pos x="200" y="43"/>
              </a:cxn>
              <a:cxn ang="0">
                <a:pos x="179" y="43"/>
              </a:cxn>
              <a:cxn ang="0">
                <a:pos x="159" y="46"/>
              </a:cxn>
              <a:cxn ang="0">
                <a:pos x="138" y="49"/>
              </a:cxn>
              <a:cxn ang="0">
                <a:pos x="118" y="52"/>
              </a:cxn>
              <a:cxn ang="0">
                <a:pos x="97" y="55"/>
              </a:cxn>
              <a:cxn ang="0">
                <a:pos x="79" y="60"/>
              </a:cxn>
              <a:cxn ang="0">
                <a:pos x="59" y="69"/>
              </a:cxn>
              <a:cxn ang="0">
                <a:pos x="44" y="83"/>
              </a:cxn>
              <a:cxn ang="0">
                <a:pos x="26" y="98"/>
              </a:cxn>
              <a:cxn ang="0">
                <a:pos x="12" y="118"/>
              </a:cxn>
              <a:cxn ang="0">
                <a:pos x="0" y="129"/>
              </a:cxn>
              <a:cxn ang="0">
                <a:pos x="6" y="132"/>
              </a:cxn>
              <a:cxn ang="0">
                <a:pos x="3" y="132"/>
              </a:cxn>
              <a:cxn ang="0">
                <a:pos x="0" y="129"/>
              </a:cxn>
              <a:cxn ang="0">
                <a:pos x="0" y="127"/>
              </a:cxn>
              <a:cxn ang="0">
                <a:pos x="6" y="127"/>
              </a:cxn>
            </a:cxnLst>
            <a:rect l="0" t="0" r="r" b="b"/>
            <a:pathLst>
              <a:path w="315" h="132">
                <a:moveTo>
                  <a:pt x="6" y="127"/>
                </a:moveTo>
                <a:lnTo>
                  <a:pt x="0" y="127"/>
                </a:lnTo>
                <a:lnTo>
                  <a:pt x="6" y="115"/>
                </a:lnTo>
                <a:lnTo>
                  <a:pt x="15" y="104"/>
                </a:lnTo>
                <a:lnTo>
                  <a:pt x="23" y="92"/>
                </a:lnTo>
                <a:lnTo>
                  <a:pt x="29" y="83"/>
                </a:lnTo>
                <a:lnTo>
                  <a:pt x="38" y="78"/>
                </a:lnTo>
                <a:lnTo>
                  <a:pt x="47" y="69"/>
                </a:lnTo>
                <a:lnTo>
                  <a:pt x="56" y="63"/>
                </a:lnTo>
                <a:lnTo>
                  <a:pt x="65" y="57"/>
                </a:lnTo>
                <a:lnTo>
                  <a:pt x="76" y="55"/>
                </a:lnTo>
                <a:lnTo>
                  <a:pt x="85" y="52"/>
                </a:lnTo>
                <a:lnTo>
                  <a:pt x="94" y="49"/>
                </a:lnTo>
                <a:lnTo>
                  <a:pt x="106" y="46"/>
                </a:lnTo>
                <a:lnTo>
                  <a:pt x="115" y="43"/>
                </a:lnTo>
                <a:lnTo>
                  <a:pt x="126" y="43"/>
                </a:lnTo>
                <a:lnTo>
                  <a:pt x="135" y="40"/>
                </a:lnTo>
                <a:lnTo>
                  <a:pt x="147" y="40"/>
                </a:lnTo>
                <a:lnTo>
                  <a:pt x="159" y="37"/>
                </a:lnTo>
                <a:lnTo>
                  <a:pt x="168" y="37"/>
                </a:lnTo>
                <a:lnTo>
                  <a:pt x="179" y="37"/>
                </a:lnTo>
                <a:lnTo>
                  <a:pt x="188" y="37"/>
                </a:lnTo>
                <a:lnTo>
                  <a:pt x="200" y="34"/>
                </a:lnTo>
                <a:lnTo>
                  <a:pt x="212" y="34"/>
                </a:lnTo>
                <a:lnTo>
                  <a:pt x="221" y="34"/>
                </a:lnTo>
                <a:lnTo>
                  <a:pt x="232" y="32"/>
                </a:lnTo>
                <a:lnTo>
                  <a:pt x="241" y="29"/>
                </a:lnTo>
                <a:lnTo>
                  <a:pt x="253" y="29"/>
                </a:lnTo>
                <a:lnTo>
                  <a:pt x="262" y="23"/>
                </a:lnTo>
                <a:lnTo>
                  <a:pt x="271" y="20"/>
                </a:lnTo>
                <a:lnTo>
                  <a:pt x="282" y="17"/>
                </a:lnTo>
                <a:lnTo>
                  <a:pt x="291" y="11"/>
                </a:lnTo>
                <a:lnTo>
                  <a:pt x="300" y="6"/>
                </a:lnTo>
                <a:lnTo>
                  <a:pt x="309" y="0"/>
                </a:lnTo>
                <a:lnTo>
                  <a:pt x="315" y="6"/>
                </a:lnTo>
                <a:lnTo>
                  <a:pt x="303" y="11"/>
                </a:lnTo>
                <a:lnTo>
                  <a:pt x="294" y="17"/>
                </a:lnTo>
                <a:lnTo>
                  <a:pt x="285" y="23"/>
                </a:lnTo>
                <a:lnTo>
                  <a:pt x="274" y="29"/>
                </a:lnTo>
                <a:lnTo>
                  <a:pt x="265" y="32"/>
                </a:lnTo>
                <a:lnTo>
                  <a:pt x="253" y="34"/>
                </a:lnTo>
                <a:lnTo>
                  <a:pt x="244" y="37"/>
                </a:lnTo>
                <a:lnTo>
                  <a:pt x="232" y="40"/>
                </a:lnTo>
                <a:lnTo>
                  <a:pt x="221" y="40"/>
                </a:lnTo>
                <a:lnTo>
                  <a:pt x="212" y="43"/>
                </a:lnTo>
                <a:lnTo>
                  <a:pt x="200" y="43"/>
                </a:lnTo>
                <a:lnTo>
                  <a:pt x="191" y="43"/>
                </a:lnTo>
                <a:lnTo>
                  <a:pt x="179" y="43"/>
                </a:lnTo>
                <a:lnTo>
                  <a:pt x="168" y="46"/>
                </a:lnTo>
                <a:lnTo>
                  <a:pt x="159" y="46"/>
                </a:lnTo>
                <a:lnTo>
                  <a:pt x="147" y="46"/>
                </a:lnTo>
                <a:lnTo>
                  <a:pt x="138" y="49"/>
                </a:lnTo>
                <a:lnTo>
                  <a:pt x="126" y="49"/>
                </a:lnTo>
                <a:lnTo>
                  <a:pt x="118" y="52"/>
                </a:lnTo>
                <a:lnTo>
                  <a:pt x="106" y="52"/>
                </a:lnTo>
                <a:lnTo>
                  <a:pt x="97" y="55"/>
                </a:lnTo>
                <a:lnTo>
                  <a:pt x="88" y="57"/>
                </a:lnTo>
                <a:lnTo>
                  <a:pt x="79" y="60"/>
                </a:lnTo>
                <a:lnTo>
                  <a:pt x="68" y="66"/>
                </a:lnTo>
                <a:lnTo>
                  <a:pt x="59" y="69"/>
                </a:lnTo>
                <a:lnTo>
                  <a:pt x="53" y="75"/>
                </a:lnTo>
                <a:lnTo>
                  <a:pt x="44" y="83"/>
                </a:lnTo>
                <a:lnTo>
                  <a:pt x="35" y="89"/>
                </a:lnTo>
                <a:lnTo>
                  <a:pt x="26" y="98"/>
                </a:lnTo>
                <a:lnTo>
                  <a:pt x="21" y="106"/>
                </a:lnTo>
                <a:lnTo>
                  <a:pt x="12" y="118"/>
                </a:lnTo>
                <a:lnTo>
                  <a:pt x="6" y="129"/>
                </a:lnTo>
                <a:lnTo>
                  <a:pt x="0" y="129"/>
                </a:lnTo>
                <a:lnTo>
                  <a:pt x="6" y="129"/>
                </a:lnTo>
                <a:lnTo>
                  <a:pt x="6" y="132"/>
                </a:lnTo>
                <a:lnTo>
                  <a:pt x="3" y="132"/>
                </a:lnTo>
                <a:lnTo>
                  <a:pt x="3" y="132"/>
                </a:lnTo>
                <a:lnTo>
                  <a:pt x="0" y="132"/>
                </a:lnTo>
                <a:lnTo>
                  <a:pt x="0" y="129"/>
                </a:lnTo>
                <a:lnTo>
                  <a:pt x="0" y="129"/>
                </a:lnTo>
                <a:lnTo>
                  <a:pt x="0" y="127"/>
                </a:lnTo>
                <a:lnTo>
                  <a:pt x="0" y="127"/>
                </a:lnTo>
                <a:lnTo>
                  <a:pt x="6" y="12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5" name="Freeform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9555" y="9891"/>
            <a:ext cx="130" cy="334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3"/>
              </a:cxn>
              <a:cxn ang="0">
                <a:pos x="130" y="332"/>
              </a:cxn>
              <a:cxn ang="0">
                <a:pos x="124" y="334"/>
              </a:cxn>
              <a:cxn ang="0">
                <a:pos x="0" y="6"/>
              </a:cxn>
              <a:cxn ang="0">
                <a:pos x="0" y="3"/>
              </a:cxn>
              <a:cxn ang="0">
                <a:pos x="0" y="6"/>
              </a:cxn>
              <a:cxn ang="0">
                <a:pos x="0" y="0"/>
              </a:cxn>
              <a:cxn ang="0">
                <a:pos x="0" y="0"/>
              </a:cxn>
              <a:cxn ang="0">
                <a:pos x="3" y="0"/>
              </a:cxn>
              <a:cxn ang="0">
                <a:pos x="6" y="3"/>
              </a:cxn>
              <a:cxn ang="0">
                <a:pos x="6" y="3"/>
              </a:cxn>
            </a:cxnLst>
            <a:rect l="0" t="0" r="r" b="b"/>
            <a:pathLst>
              <a:path w="130" h="334">
                <a:moveTo>
                  <a:pt x="6" y="3"/>
                </a:moveTo>
                <a:lnTo>
                  <a:pt x="6" y="3"/>
                </a:lnTo>
                <a:lnTo>
                  <a:pt x="130" y="332"/>
                </a:lnTo>
                <a:lnTo>
                  <a:pt x="124" y="334"/>
                </a:lnTo>
                <a:lnTo>
                  <a:pt x="0" y="6"/>
                </a:lnTo>
                <a:lnTo>
                  <a:pt x="0" y="3"/>
                </a:lnTo>
                <a:lnTo>
                  <a:pt x="0" y="6"/>
                </a:lnTo>
                <a:lnTo>
                  <a:pt x="0" y="0"/>
                </a:lnTo>
                <a:lnTo>
                  <a:pt x="0" y="0"/>
                </a:lnTo>
                <a:lnTo>
                  <a:pt x="3" y="0"/>
                </a:lnTo>
                <a:lnTo>
                  <a:pt x="6" y="3"/>
                </a:lnTo>
                <a:lnTo>
                  <a:pt x="6" y="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6" name="Freeform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9555" y="9759"/>
            <a:ext cx="312" cy="135"/>
          </a:xfrm>
          <a:custGeom>
            <a:avLst/>
            <a:gdLst/>
            <a:ahLst/>
            <a:cxnLst>
              <a:cxn ang="0">
                <a:pos x="309" y="6"/>
              </a:cxn>
              <a:cxn ang="0">
                <a:pos x="286" y="17"/>
              </a:cxn>
              <a:cxn ang="0">
                <a:pos x="259" y="23"/>
              </a:cxn>
              <a:cxn ang="0">
                <a:pos x="236" y="32"/>
              </a:cxn>
              <a:cxn ang="0">
                <a:pos x="212" y="34"/>
              </a:cxn>
              <a:cxn ang="0">
                <a:pos x="189" y="40"/>
              </a:cxn>
              <a:cxn ang="0">
                <a:pos x="165" y="40"/>
              </a:cxn>
              <a:cxn ang="0">
                <a:pos x="142" y="46"/>
              </a:cxn>
              <a:cxn ang="0">
                <a:pos x="121" y="49"/>
              </a:cxn>
              <a:cxn ang="0">
                <a:pos x="100" y="52"/>
              </a:cxn>
              <a:cxn ang="0">
                <a:pos x="83" y="57"/>
              </a:cxn>
              <a:cxn ang="0">
                <a:pos x="65" y="63"/>
              </a:cxn>
              <a:cxn ang="0">
                <a:pos x="50" y="72"/>
              </a:cxn>
              <a:cxn ang="0">
                <a:pos x="36" y="83"/>
              </a:cxn>
              <a:cxn ang="0">
                <a:pos x="24" y="98"/>
              </a:cxn>
              <a:cxn ang="0">
                <a:pos x="15" y="115"/>
              </a:cxn>
              <a:cxn ang="0">
                <a:pos x="6" y="135"/>
              </a:cxn>
              <a:cxn ang="0">
                <a:pos x="3" y="124"/>
              </a:cxn>
              <a:cxn ang="0">
                <a:pos x="12" y="101"/>
              </a:cxn>
              <a:cxn ang="0">
                <a:pos x="24" y="86"/>
              </a:cxn>
              <a:cxn ang="0">
                <a:pos x="39" y="72"/>
              </a:cxn>
              <a:cxn ang="0">
                <a:pos x="53" y="60"/>
              </a:cxn>
              <a:cxn ang="0">
                <a:pos x="71" y="52"/>
              </a:cxn>
              <a:cxn ang="0">
                <a:pos x="92" y="46"/>
              </a:cxn>
              <a:cxn ang="0">
                <a:pos x="109" y="43"/>
              </a:cxn>
              <a:cxn ang="0">
                <a:pos x="130" y="37"/>
              </a:cxn>
              <a:cxn ang="0">
                <a:pos x="153" y="37"/>
              </a:cxn>
              <a:cxn ang="0">
                <a:pos x="177" y="34"/>
              </a:cxn>
              <a:cxn ang="0">
                <a:pos x="197" y="29"/>
              </a:cxn>
              <a:cxn ang="0">
                <a:pos x="224" y="26"/>
              </a:cxn>
              <a:cxn ang="0">
                <a:pos x="247" y="20"/>
              </a:cxn>
              <a:cxn ang="0">
                <a:pos x="271" y="14"/>
              </a:cxn>
              <a:cxn ang="0">
                <a:pos x="295" y="6"/>
              </a:cxn>
              <a:cxn ang="0">
                <a:pos x="312" y="0"/>
              </a:cxn>
              <a:cxn ang="0">
                <a:pos x="309" y="0"/>
              </a:cxn>
              <a:cxn ang="0">
                <a:pos x="312" y="3"/>
              </a:cxn>
              <a:cxn ang="0">
                <a:pos x="303" y="3"/>
              </a:cxn>
            </a:cxnLst>
            <a:rect l="0" t="0" r="r" b="b"/>
            <a:pathLst>
              <a:path w="312" h="135">
                <a:moveTo>
                  <a:pt x="303" y="3"/>
                </a:moveTo>
                <a:lnTo>
                  <a:pt x="309" y="6"/>
                </a:lnTo>
                <a:lnTo>
                  <a:pt x="298" y="11"/>
                </a:lnTo>
                <a:lnTo>
                  <a:pt x="286" y="17"/>
                </a:lnTo>
                <a:lnTo>
                  <a:pt x="274" y="20"/>
                </a:lnTo>
                <a:lnTo>
                  <a:pt x="259" y="23"/>
                </a:lnTo>
                <a:lnTo>
                  <a:pt x="247" y="29"/>
                </a:lnTo>
                <a:lnTo>
                  <a:pt x="236" y="32"/>
                </a:lnTo>
                <a:lnTo>
                  <a:pt x="224" y="34"/>
                </a:lnTo>
                <a:lnTo>
                  <a:pt x="212" y="34"/>
                </a:lnTo>
                <a:lnTo>
                  <a:pt x="200" y="37"/>
                </a:lnTo>
                <a:lnTo>
                  <a:pt x="189" y="40"/>
                </a:lnTo>
                <a:lnTo>
                  <a:pt x="177" y="40"/>
                </a:lnTo>
                <a:lnTo>
                  <a:pt x="165" y="40"/>
                </a:lnTo>
                <a:lnTo>
                  <a:pt x="153" y="43"/>
                </a:lnTo>
                <a:lnTo>
                  <a:pt x="142" y="46"/>
                </a:lnTo>
                <a:lnTo>
                  <a:pt x="133" y="46"/>
                </a:lnTo>
                <a:lnTo>
                  <a:pt x="121" y="49"/>
                </a:lnTo>
                <a:lnTo>
                  <a:pt x="112" y="49"/>
                </a:lnTo>
                <a:lnTo>
                  <a:pt x="100" y="52"/>
                </a:lnTo>
                <a:lnTo>
                  <a:pt x="92" y="55"/>
                </a:lnTo>
                <a:lnTo>
                  <a:pt x="83" y="57"/>
                </a:lnTo>
                <a:lnTo>
                  <a:pt x="74" y="60"/>
                </a:lnTo>
                <a:lnTo>
                  <a:pt x="65" y="63"/>
                </a:lnTo>
                <a:lnTo>
                  <a:pt x="56" y="66"/>
                </a:lnTo>
                <a:lnTo>
                  <a:pt x="50" y="72"/>
                </a:lnTo>
                <a:lnTo>
                  <a:pt x="42" y="78"/>
                </a:lnTo>
                <a:lnTo>
                  <a:pt x="36" y="83"/>
                </a:lnTo>
                <a:lnTo>
                  <a:pt x="30" y="89"/>
                </a:lnTo>
                <a:lnTo>
                  <a:pt x="24" y="98"/>
                </a:lnTo>
                <a:lnTo>
                  <a:pt x="18" y="106"/>
                </a:lnTo>
                <a:lnTo>
                  <a:pt x="15" y="115"/>
                </a:lnTo>
                <a:lnTo>
                  <a:pt x="9" y="124"/>
                </a:lnTo>
                <a:lnTo>
                  <a:pt x="6" y="135"/>
                </a:lnTo>
                <a:lnTo>
                  <a:pt x="0" y="135"/>
                </a:lnTo>
                <a:lnTo>
                  <a:pt x="3" y="124"/>
                </a:lnTo>
                <a:lnTo>
                  <a:pt x="6" y="112"/>
                </a:lnTo>
                <a:lnTo>
                  <a:pt x="12" y="101"/>
                </a:lnTo>
                <a:lnTo>
                  <a:pt x="18" y="92"/>
                </a:lnTo>
                <a:lnTo>
                  <a:pt x="24" y="86"/>
                </a:lnTo>
                <a:lnTo>
                  <a:pt x="30" y="78"/>
                </a:lnTo>
                <a:lnTo>
                  <a:pt x="39" y="72"/>
                </a:lnTo>
                <a:lnTo>
                  <a:pt x="44" y="66"/>
                </a:lnTo>
                <a:lnTo>
                  <a:pt x="53" y="60"/>
                </a:lnTo>
                <a:lnTo>
                  <a:pt x="62" y="57"/>
                </a:lnTo>
                <a:lnTo>
                  <a:pt x="71" y="52"/>
                </a:lnTo>
                <a:lnTo>
                  <a:pt x="80" y="49"/>
                </a:lnTo>
                <a:lnTo>
                  <a:pt x="92" y="46"/>
                </a:lnTo>
                <a:lnTo>
                  <a:pt x="100" y="46"/>
                </a:lnTo>
                <a:lnTo>
                  <a:pt x="109" y="43"/>
                </a:lnTo>
                <a:lnTo>
                  <a:pt x="121" y="40"/>
                </a:lnTo>
                <a:lnTo>
                  <a:pt x="130" y="37"/>
                </a:lnTo>
                <a:lnTo>
                  <a:pt x="142" y="37"/>
                </a:lnTo>
                <a:lnTo>
                  <a:pt x="153" y="37"/>
                </a:lnTo>
                <a:lnTo>
                  <a:pt x="165" y="34"/>
                </a:lnTo>
                <a:lnTo>
                  <a:pt x="177" y="34"/>
                </a:lnTo>
                <a:lnTo>
                  <a:pt x="186" y="32"/>
                </a:lnTo>
                <a:lnTo>
                  <a:pt x="197" y="29"/>
                </a:lnTo>
                <a:lnTo>
                  <a:pt x="212" y="29"/>
                </a:lnTo>
                <a:lnTo>
                  <a:pt x="224" y="26"/>
                </a:lnTo>
                <a:lnTo>
                  <a:pt x="236" y="23"/>
                </a:lnTo>
                <a:lnTo>
                  <a:pt x="247" y="20"/>
                </a:lnTo>
                <a:lnTo>
                  <a:pt x="259" y="17"/>
                </a:lnTo>
                <a:lnTo>
                  <a:pt x="271" y="14"/>
                </a:lnTo>
                <a:lnTo>
                  <a:pt x="283" y="9"/>
                </a:lnTo>
                <a:lnTo>
                  <a:pt x="295" y="6"/>
                </a:lnTo>
                <a:lnTo>
                  <a:pt x="306" y="0"/>
                </a:lnTo>
                <a:lnTo>
                  <a:pt x="312" y="0"/>
                </a:lnTo>
                <a:lnTo>
                  <a:pt x="306" y="0"/>
                </a:lnTo>
                <a:lnTo>
                  <a:pt x="309" y="0"/>
                </a:lnTo>
                <a:lnTo>
                  <a:pt x="312" y="0"/>
                </a:lnTo>
                <a:lnTo>
                  <a:pt x="312" y="3"/>
                </a:lnTo>
                <a:lnTo>
                  <a:pt x="309" y="6"/>
                </a:lnTo>
                <a:lnTo>
                  <a:pt x="303" y="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7" name="Freeform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9667" y="9840"/>
            <a:ext cx="141" cy="181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50" y="120"/>
              </a:cxn>
              <a:cxn ang="0">
                <a:pos x="50" y="123"/>
              </a:cxn>
              <a:cxn ang="0">
                <a:pos x="50" y="126"/>
              </a:cxn>
              <a:cxn ang="0">
                <a:pos x="50" y="132"/>
              </a:cxn>
              <a:cxn ang="0">
                <a:pos x="53" y="135"/>
              </a:cxn>
              <a:cxn ang="0">
                <a:pos x="56" y="135"/>
              </a:cxn>
              <a:cxn ang="0">
                <a:pos x="62" y="135"/>
              </a:cxn>
              <a:cxn ang="0">
                <a:pos x="65" y="135"/>
              </a:cxn>
              <a:cxn ang="0">
                <a:pos x="68" y="132"/>
              </a:cxn>
              <a:cxn ang="0">
                <a:pos x="71" y="129"/>
              </a:cxn>
              <a:cxn ang="0">
                <a:pos x="74" y="126"/>
              </a:cxn>
              <a:cxn ang="0">
                <a:pos x="74" y="123"/>
              </a:cxn>
              <a:cxn ang="0">
                <a:pos x="91" y="0"/>
              </a:cxn>
              <a:cxn ang="0">
                <a:pos x="121" y="118"/>
              </a:cxn>
              <a:cxn ang="0">
                <a:pos x="118" y="129"/>
              </a:cxn>
              <a:cxn ang="0">
                <a:pos x="115" y="141"/>
              </a:cxn>
              <a:cxn ang="0">
                <a:pos x="112" y="152"/>
              </a:cxn>
              <a:cxn ang="0">
                <a:pos x="106" y="158"/>
              </a:cxn>
              <a:cxn ang="0">
                <a:pos x="100" y="167"/>
              </a:cxn>
              <a:cxn ang="0">
                <a:pos x="91" y="169"/>
              </a:cxn>
              <a:cxn ang="0">
                <a:pos x="85" y="175"/>
              </a:cxn>
              <a:cxn ang="0">
                <a:pos x="80" y="178"/>
              </a:cxn>
              <a:cxn ang="0">
                <a:pos x="71" y="178"/>
              </a:cxn>
              <a:cxn ang="0">
                <a:pos x="65" y="181"/>
              </a:cxn>
              <a:cxn ang="0">
                <a:pos x="59" y="181"/>
              </a:cxn>
              <a:cxn ang="0">
                <a:pos x="50" y="181"/>
              </a:cxn>
              <a:cxn ang="0">
                <a:pos x="38" y="181"/>
              </a:cxn>
              <a:cxn ang="0">
                <a:pos x="30" y="178"/>
              </a:cxn>
              <a:cxn ang="0">
                <a:pos x="21" y="175"/>
              </a:cxn>
              <a:cxn ang="0">
                <a:pos x="15" y="169"/>
              </a:cxn>
              <a:cxn ang="0">
                <a:pos x="9" y="164"/>
              </a:cxn>
              <a:cxn ang="0">
                <a:pos x="6" y="155"/>
              </a:cxn>
              <a:cxn ang="0">
                <a:pos x="3" y="144"/>
              </a:cxn>
              <a:cxn ang="0">
                <a:pos x="0" y="135"/>
              </a:cxn>
              <a:cxn ang="0">
                <a:pos x="3" y="129"/>
              </a:cxn>
              <a:cxn ang="0">
                <a:pos x="3" y="123"/>
              </a:cxn>
              <a:cxn ang="0">
                <a:pos x="3" y="120"/>
              </a:cxn>
              <a:cxn ang="0">
                <a:pos x="3" y="118"/>
              </a:cxn>
            </a:cxnLst>
            <a:rect l="0" t="0" r="r" b="b"/>
            <a:pathLst>
              <a:path w="141" h="181">
                <a:moveTo>
                  <a:pt x="21" y="0"/>
                </a:moveTo>
                <a:lnTo>
                  <a:pt x="68" y="0"/>
                </a:lnTo>
                <a:lnTo>
                  <a:pt x="50" y="118"/>
                </a:lnTo>
                <a:lnTo>
                  <a:pt x="50" y="120"/>
                </a:lnTo>
                <a:lnTo>
                  <a:pt x="50" y="123"/>
                </a:lnTo>
                <a:lnTo>
                  <a:pt x="50" y="123"/>
                </a:lnTo>
                <a:lnTo>
                  <a:pt x="50" y="123"/>
                </a:lnTo>
                <a:lnTo>
                  <a:pt x="50" y="126"/>
                </a:lnTo>
                <a:lnTo>
                  <a:pt x="50" y="129"/>
                </a:lnTo>
                <a:lnTo>
                  <a:pt x="50" y="132"/>
                </a:lnTo>
                <a:lnTo>
                  <a:pt x="53" y="132"/>
                </a:lnTo>
                <a:lnTo>
                  <a:pt x="53" y="135"/>
                </a:lnTo>
                <a:lnTo>
                  <a:pt x="56" y="135"/>
                </a:ln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5"/>
                </a:lnTo>
                <a:lnTo>
                  <a:pt x="65" y="135"/>
                </a:lnTo>
                <a:lnTo>
                  <a:pt x="68" y="132"/>
                </a:lnTo>
                <a:lnTo>
                  <a:pt x="68" y="132"/>
                </a:lnTo>
                <a:lnTo>
                  <a:pt x="71" y="132"/>
                </a:lnTo>
                <a:lnTo>
                  <a:pt x="71" y="129"/>
                </a:lnTo>
                <a:lnTo>
                  <a:pt x="71" y="129"/>
                </a:lnTo>
                <a:lnTo>
                  <a:pt x="74" y="126"/>
                </a:lnTo>
                <a:lnTo>
                  <a:pt x="74" y="126"/>
                </a:lnTo>
                <a:lnTo>
                  <a:pt x="74" y="123"/>
                </a:lnTo>
                <a:lnTo>
                  <a:pt x="74" y="123"/>
                </a:lnTo>
                <a:lnTo>
                  <a:pt x="91" y="0"/>
                </a:lnTo>
                <a:lnTo>
                  <a:pt x="141" y="0"/>
                </a:lnTo>
                <a:lnTo>
                  <a:pt x="121" y="118"/>
                </a:lnTo>
                <a:lnTo>
                  <a:pt x="121" y="123"/>
                </a:lnTo>
                <a:lnTo>
                  <a:pt x="118" y="129"/>
                </a:lnTo>
                <a:lnTo>
                  <a:pt x="118" y="135"/>
                </a:lnTo>
                <a:lnTo>
                  <a:pt x="115" y="141"/>
                </a:lnTo>
                <a:lnTo>
                  <a:pt x="112" y="146"/>
                </a:lnTo>
                <a:lnTo>
                  <a:pt x="112" y="152"/>
                </a:lnTo>
                <a:lnTo>
                  <a:pt x="109" y="155"/>
                </a:lnTo>
                <a:lnTo>
                  <a:pt x="106" y="158"/>
                </a:lnTo>
                <a:lnTo>
                  <a:pt x="103" y="164"/>
                </a:lnTo>
                <a:lnTo>
                  <a:pt x="100" y="167"/>
                </a:lnTo>
                <a:lnTo>
                  <a:pt x="97" y="169"/>
                </a:lnTo>
                <a:lnTo>
                  <a:pt x="91" y="169"/>
                </a:lnTo>
                <a:lnTo>
                  <a:pt x="88" y="172"/>
                </a:lnTo>
                <a:lnTo>
                  <a:pt x="85" y="175"/>
                </a:lnTo>
                <a:lnTo>
                  <a:pt x="83" y="175"/>
                </a:lnTo>
                <a:lnTo>
                  <a:pt x="80" y="178"/>
                </a:lnTo>
                <a:lnTo>
                  <a:pt x="77" y="178"/>
                </a:lnTo>
                <a:lnTo>
                  <a:pt x="71" y="178"/>
                </a:lnTo>
                <a:lnTo>
                  <a:pt x="68" y="181"/>
                </a:lnTo>
                <a:lnTo>
                  <a:pt x="65" y="181"/>
                </a:lnTo>
                <a:lnTo>
                  <a:pt x="62" y="181"/>
                </a:lnTo>
                <a:lnTo>
                  <a:pt x="59" y="181"/>
                </a:lnTo>
                <a:lnTo>
                  <a:pt x="53" y="181"/>
                </a:lnTo>
                <a:lnTo>
                  <a:pt x="50" y="181"/>
                </a:lnTo>
                <a:lnTo>
                  <a:pt x="44" y="181"/>
                </a:lnTo>
                <a:lnTo>
                  <a:pt x="38" y="181"/>
                </a:lnTo>
                <a:lnTo>
                  <a:pt x="35" y="181"/>
                </a:lnTo>
                <a:lnTo>
                  <a:pt x="30" y="178"/>
                </a:lnTo>
                <a:lnTo>
                  <a:pt x="24" y="178"/>
                </a:lnTo>
                <a:lnTo>
                  <a:pt x="21" y="175"/>
                </a:lnTo>
                <a:lnTo>
                  <a:pt x="18" y="172"/>
                </a:lnTo>
                <a:lnTo>
                  <a:pt x="15" y="169"/>
                </a:lnTo>
                <a:lnTo>
                  <a:pt x="12" y="167"/>
                </a:lnTo>
                <a:lnTo>
                  <a:pt x="9" y="164"/>
                </a:lnTo>
                <a:lnTo>
                  <a:pt x="6" y="158"/>
                </a:lnTo>
                <a:lnTo>
                  <a:pt x="6" y="155"/>
                </a:lnTo>
                <a:lnTo>
                  <a:pt x="3" y="149"/>
                </a:lnTo>
                <a:lnTo>
                  <a:pt x="3" y="144"/>
                </a:lnTo>
                <a:lnTo>
                  <a:pt x="0" y="141"/>
                </a:lnTo>
                <a:lnTo>
                  <a:pt x="0" y="135"/>
                </a:lnTo>
                <a:lnTo>
                  <a:pt x="0" y="132"/>
                </a:lnTo>
                <a:lnTo>
                  <a:pt x="3" y="129"/>
                </a:lnTo>
                <a:lnTo>
                  <a:pt x="3" y="126"/>
                </a:lnTo>
                <a:lnTo>
                  <a:pt x="3" y="123"/>
                </a:lnTo>
                <a:lnTo>
                  <a:pt x="3" y="123"/>
                </a:lnTo>
                <a:lnTo>
                  <a:pt x="3" y="120"/>
                </a:lnTo>
                <a:lnTo>
                  <a:pt x="3" y="118"/>
                </a:lnTo>
                <a:lnTo>
                  <a:pt x="3" y="118"/>
                </a:lnTo>
                <a:lnTo>
                  <a:pt x="21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" name="Freeform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9800" y="9840"/>
            <a:ext cx="150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91" y="106"/>
              </a:cxn>
              <a:cxn ang="0">
                <a:pos x="94" y="95"/>
              </a:cxn>
              <a:cxn ang="0">
                <a:pos x="94" y="86"/>
              </a:cxn>
              <a:cxn ang="0">
                <a:pos x="94" y="77"/>
              </a:cxn>
              <a:cxn ang="0">
                <a:pos x="94" y="69"/>
              </a:cxn>
              <a:cxn ang="0">
                <a:pos x="94" y="63"/>
              </a:cxn>
              <a:cxn ang="0">
                <a:pos x="97" y="57"/>
              </a:cxn>
              <a:cxn ang="0">
                <a:pos x="97" y="51"/>
              </a:cxn>
              <a:cxn ang="0">
                <a:pos x="97" y="46"/>
              </a:cxn>
              <a:cxn ang="0">
                <a:pos x="97" y="43"/>
              </a:cxn>
              <a:cxn ang="0">
                <a:pos x="97" y="37"/>
              </a:cxn>
              <a:cxn ang="0">
                <a:pos x="100" y="31"/>
              </a:cxn>
              <a:cxn ang="0">
                <a:pos x="103" y="23"/>
              </a:cxn>
              <a:cxn ang="0">
                <a:pos x="103" y="17"/>
              </a:cxn>
              <a:cxn ang="0">
                <a:pos x="103" y="11"/>
              </a:cxn>
              <a:cxn ang="0">
                <a:pos x="103" y="5"/>
              </a:cxn>
              <a:cxn ang="0">
                <a:pos x="103" y="0"/>
              </a:cxn>
              <a:cxn ang="0">
                <a:pos x="120" y="178"/>
              </a:cxn>
              <a:cxn ang="0">
                <a:pos x="55" y="74"/>
              </a:cxn>
              <a:cxn ang="0">
                <a:pos x="55" y="83"/>
              </a:cxn>
              <a:cxn ang="0">
                <a:pos x="55" y="92"/>
              </a:cxn>
              <a:cxn ang="0">
                <a:pos x="55" y="100"/>
              </a:cxn>
              <a:cxn ang="0">
                <a:pos x="55" y="106"/>
              </a:cxn>
              <a:cxn ang="0">
                <a:pos x="53" y="112"/>
              </a:cxn>
              <a:cxn ang="0">
                <a:pos x="53" y="118"/>
              </a:cxn>
              <a:cxn ang="0">
                <a:pos x="53" y="123"/>
              </a:cxn>
              <a:cxn ang="0">
                <a:pos x="53" y="126"/>
              </a:cxn>
              <a:cxn ang="0">
                <a:pos x="50" y="132"/>
              </a:cxn>
              <a:cxn ang="0">
                <a:pos x="50" y="138"/>
              </a:cxn>
              <a:cxn ang="0">
                <a:pos x="50" y="144"/>
              </a:cxn>
              <a:cxn ang="0">
                <a:pos x="50" y="152"/>
              </a:cxn>
              <a:cxn ang="0">
                <a:pos x="47" y="158"/>
              </a:cxn>
              <a:cxn ang="0">
                <a:pos x="47" y="164"/>
              </a:cxn>
              <a:cxn ang="0">
                <a:pos x="47" y="172"/>
              </a:cxn>
              <a:cxn ang="0">
                <a:pos x="44" y="178"/>
              </a:cxn>
            </a:cxnLst>
            <a:rect l="0" t="0" r="r" b="b"/>
            <a:pathLst>
              <a:path w="150" h="178">
                <a:moveTo>
                  <a:pt x="0" y="178"/>
                </a:moveTo>
                <a:lnTo>
                  <a:pt x="26" y="0"/>
                </a:lnTo>
                <a:lnTo>
                  <a:pt x="70" y="0"/>
                </a:lnTo>
                <a:lnTo>
                  <a:pt x="91" y="106"/>
                </a:lnTo>
                <a:lnTo>
                  <a:pt x="94" y="100"/>
                </a:lnTo>
                <a:lnTo>
                  <a:pt x="94" y="95"/>
                </a:lnTo>
                <a:lnTo>
                  <a:pt x="94" y="92"/>
                </a:lnTo>
                <a:lnTo>
                  <a:pt x="94" y="86"/>
                </a:lnTo>
                <a:lnTo>
                  <a:pt x="94" y="80"/>
                </a:lnTo>
                <a:lnTo>
                  <a:pt x="94" y="77"/>
                </a:lnTo>
                <a:lnTo>
                  <a:pt x="94" y="74"/>
                </a:lnTo>
                <a:lnTo>
                  <a:pt x="94" y="69"/>
                </a:lnTo>
                <a:lnTo>
                  <a:pt x="94" y="66"/>
                </a:lnTo>
                <a:lnTo>
                  <a:pt x="94" y="63"/>
                </a:lnTo>
                <a:lnTo>
                  <a:pt x="94" y="60"/>
                </a:lnTo>
                <a:lnTo>
                  <a:pt x="97" y="57"/>
                </a:lnTo>
                <a:lnTo>
                  <a:pt x="97" y="54"/>
                </a:lnTo>
                <a:lnTo>
                  <a:pt x="97" y="51"/>
                </a:lnTo>
                <a:lnTo>
                  <a:pt x="97" y="48"/>
                </a:lnTo>
                <a:lnTo>
                  <a:pt x="97" y="46"/>
                </a:lnTo>
                <a:lnTo>
                  <a:pt x="97" y="46"/>
                </a:lnTo>
                <a:lnTo>
                  <a:pt x="97" y="43"/>
                </a:lnTo>
                <a:lnTo>
                  <a:pt x="97" y="40"/>
                </a:lnTo>
                <a:lnTo>
                  <a:pt x="97" y="37"/>
                </a:lnTo>
                <a:lnTo>
                  <a:pt x="100" y="34"/>
                </a:lnTo>
                <a:lnTo>
                  <a:pt x="100" y="31"/>
                </a:lnTo>
                <a:lnTo>
                  <a:pt x="100" y="28"/>
                </a:lnTo>
                <a:lnTo>
                  <a:pt x="103" y="23"/>
                </a:lnTo>
                <a:lnTo>
                  <a:pt x="103" y="20"/>
                </a:lnTo>
                <a:lnTo>
                  <a:pt x="103" y="17"/>
                </a:lnTo>
                <a:lnTo>
                  <a:pt x="103" y="14"/>
                </a:lnTo>
                <a:lnTo>
                  <a:pt x="103" y="11"/>
                </a:lnTo>
                <a:lnTo>
                  <a:pt x="103" y="8"/>
                </a:lnTo>
                <a:lnTo>
                  <a:pt x="103" y="5"/>
                </a:lnTo>
                <a:lnTo>
                  <a:pt x="103" y="2"/>
                </a:lnTo>
                <a:lnTo>
                  <a:pt x="103" y="0"/>
                </a:lnTo>
                <a:lnTo>
                  <a:pt x="150" y="0"/>
                </a:lnTo>
                <a:lnTo>
                  <a:pt x="120" y="178"/>
                </a:lnTo>
                <a:lnTo>
                  <a:pt x="76" y="178"/>
                </a:lnTo>
                <a:lnTo>
                  <a:pt x="55" y="74"/>
                </a:lnTo>
                <a:lnTo>
                  <a:pt x="55" y="80"/>
                </a:lnTo>
                <a:lnTo>
                  <a:pt x="55" y="83"/>
                </a:lnTo>
                <a:lnTo>
                  <a:pt x="55" y="89"/>
                </a:lnTo>
                <a:lnTo>
                  <a:pt x="55" y="92"/>
                </a:lnTo>
                <a:lnTo>
                  <a:pt x="55" y="95"/>
                </a:lnTo>
                <a:lnTo>
                  <a:pt x="55" y="100"/>
                </a:lnTo>
                <a:lnTo>
                  <a:pt x="55" y="103"/>
                </a:lnTo>
                <a:lnTo>
                  <a:pt x="55" y="106"/>
                </a:lnTo>
                <a:lnTo>
                  <a:pt x="55" y="109"/>
                </a:lnTo>
                <a:lnTo>
                  <a:pt x="53" y="112"/>
                </a:lnTo>
                <a:lnTo>
                  <a:pt x="53" y="115"/>
                </a:lnTo>
                <a:lnTo>
                  <a:pt x="53" y="118"/>
                </a:lnTo>
                <a:lnTo>
                  <a:pt x="53" y="120"/>
                </a:lnTo>
                <a:lnTo>
                  <a:pt x="53" y="123"/>
                </a:lnTo>
                <a:lnTo>
                  <a:pt x="53" y="126"/>
                </a:lnTo>
                <a:lnTo>
                  <a:pt x="53" y="126"/>
                </a:lnTo>
                <a:lnTo>
                  <a:pt x="53" y="129"/>
                </a:lnTo>
                <a:lnTo>
                  <a:pt x="50" y="132"/>
                </a:lnTo>
                <a:lnTo>
                  <a:pt x="50" y="135"/>
                </a:lnTo>
                <a:lnTo>
                  <a:pt x="50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6"/>
                </a:lnTo>
                <a:lnTo>
                  <a:pt x="50" y="152"/>
                </a:lnTo>
                <a:lnTo>
                  <a:pt x="47" y="155"/>
                </a:lnTo>
                <a:lnTo>
                  <a:pt x="47" y="158"/>
                </a:lnTo>
                <a:lnTo>
                  <a:pt x="47" y="161"/>
                </a:lnTo>
                <a:lnTo>
                  <a:pt x="47" y="164"/>
                </a:lnTo>
                <a:lnTo>
                  <a:pt x="47" y="169"/>
                </a:lnTo>
                <a:lnTo>
                  <a:pt x="47" y="172"/>
                </a:lnTo>
                <a:lnTo>
                  <a:pt x="47" y="175"/>
                </a:lnTo>
                <a:lnTo>
                  <a:pt x="44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" name="Freeform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9941" y="9840"/>
            <a:ext cx="76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76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6" h="178">
                <a:moveTo>
                  <a:pt x="0" y="178"/>
                </a:moveTo>
                <a:lnTo>
                  <a:pt x="29" y="0"/>
                </a:lnTo>
                <a:lnTo>
                  <a:pt x="76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" name="Freeform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10023" y="9840"/>
            <a:ext cx="135" cy="178"/>
          </a:xfrm>
          <a:custGeom>
            <a:avLst/>
            <a:gdLst/>
            <a:ahLst/>
            <a:cxnLst>
              <a:cxn ang="0">
                <a:pos x="12" y="178"/>
              </a:cxn>
              <a:cxn ang="0">
                <a:pos x="0" y="0"/>
              </a:cxn>
              <a:cxn ang="0">
                <a:pos x="50" y="0"/>
              </a:cxn>
              <a:cxn ang="0">
                <a:pos x="50" y="2"/>
              </a:cxn>
              <a:cxn ang="0">
                <a:pos x="50" y="5"/>
              </a:cxn>
              <a:cxn ang="0">
                <a:pos x="50" y="8"/>
              </a:cxn>
              <a:cxn ang="0">
                <a:pos x="50" y="11"/>
              </a:cxn>
              <a:cxn ang="0">
                <a:pos x="47" y="14"/>
              </a:cxn>
              <a:cxn ang="0">
                <a:pos x="47" y="17"/>
              </a:cxn>
              <a:cxn ang="0">
                <a:pos x="47" y="20"/>
              </a:cxn>
              <a:cxn ang="0">
                <a:pos x="47" y="20"/>
              </a:cxn>
              <a:cxn ang="0">
                <a:pos x="47" y="51"/>
              </a:cxn>
              <a:cxn ang="0">
                <a:pos x="47" y="57"/>
              </a:cxn>
              <a:cxn ang="0">
                <a:pos x="47" y="60"/>
              </a:cxn>
              <a:cxn ang="0">
                <a:pos x="47" y="63"/>
              </a:cxn>
              <a:cxn ang="0">
                <a:pos x="47" y="66"/>
              </a:cxn>
              <a:cxn ang="0">
                <a:pos x="47" y="72"/>
              </a:cxn>
              <a:cxn ang="0">
                <a:pos x="47" y="74"/>
              </a:cxn>
              <a:cxn ang="0">
                <a:pos x="47" y="80"/>
              </a:cxn>
              <a:cxn ang="0">
                <a:pos x="47" y="83"/>
              </a:cxn>
              <a:cxn ang="0">
                <a:pos x="47" y="86"/>
              </a:cxn>
              <a:cxn ang="0">
                <a:pos x="47" y="92"/>
              </a:cxn>
              <a:cxn ang="0">
                <a:pos x="47" y="95"/>
              </a:cxn>
              <a:cxn ang="0">
                <a:pos x="47" y="100"/>
              </a:cxn>
              <a:cxn ang="0">
                <a:pos x="47" y="103"/>
              </a:cxn>
              <a:cxn ang="0">
                <a:pos x="47" y="109"/>
              </a:cxn>
              <a:cxn ang="0">
                <a:pos x="47" y="112"/>
              </a:cxn>
              <a:cxn ang="0">
                <a:pos x="47" y="115"/>
              </a:cxn>
              <a:cxn ang="0">
                <a:pos x="47" y="115"/>
              </a:cxn>
              <a:cxn ang="0">
                <a:pos x="50" y="109"/>
              </a:cxn>
              <a:cxn ang="0">
                <a:pos x="50" y="103"/>
              </a:cxn>
              <a:cxn ang="0">
                <a:pos x="53" y="97"/>
              </a:cxn>
              <a:cxn ang="0">
                <a:pos x="53" y="92"/>
              </a:cxn>
              <a:cxn ang="0">
                <a:pos x="56" y="86"/>
              </a:cxn>
              <a:cxn ang="0">
                <a:pos x="56" y="83"/>
              </a:cxn>
              <a:cxn ang="0">
                <a:pos x="59" y="77"/>
              </a:cxn>
              <a:cxn ang="0">
                <a:pos x="59" y="74"/>
              </a:cxn>
              <a:cxn ang="0">
                <a:pos x="62" y="69"/>
              </a:cxn>
              <a:cxn ang="0">
                <a:pos x="62" y="66"/>
              </a:cxn>
              <a:cxn ang="0">
                <a:pos x="65" y="60"/>
              </a:cxn>
              <a:cxn ang="0">
                <a:pos x="65" y="57"/>
              </a:cxn>
              <a:cxn ang="0">
                <a:pos x="65" y="54"/>
              </a:cxn>
              <a:cxn ang="0">
                <a:pos x="68" y="51"/>
              </a:cxn>
              <a:cxn ang="0">
                <a:pos x="68" y="46"/>
              </a:cxn>
              <a:cxn ang="0">
                <a:pos x="68" y="43"/>
              </a:cxn>
              <a:cxn ang="0">
                <a:pos x="71" y="40"/>
              </a:cxn>
              <a:cxn ang="0">
                <a:pos x="71" y="34"/>
              </a:cxn>
              <a:cxn ang="0">
                <a:pos x="74" y="31"/>
              </a:cxn>
              <a:cxn ang="0">
                <a:pos x="74" y="25"/>
              </a:cxn>
              <a:cxn ang="0">
                <a:pos x="77" y="20"/>
              </a:cxn>
              <a:cxn ang="0">
                <a:pos x="80" y="14"/>
              </a:cxn>
              <a:cxn ang="0">
                <a:pos x="80" y="5"/>
              </a:cxn>
              <a:cxn ang="0">
                <a:pos x="83" y="0"/>
              </a:cxn>
              <a:cxn ang="0">
                <a:pos x="135" y="0"/>
              </a:cxn>
              <a:cxn ang="0">
                <a:pos x="59" y="178"/>
              </a:cxn>
              <a:cxn ang="0">
                <a:pos x="12" y="178"/>
              </a:cxn>
            </a:cxnLst>
            <a:rect l="0" t="0" r="r" b="b"/>
            <a:pathLst>
              <a:path w="135" h="178">
                <a:moveTo>
                  <a:pt x="12" y="178"/>
                </a:moveTo>
                <a:lnTo>
                  <a:pt x="0" y="0"/>
                </a:lnTo>
                <a:lnTo>
                  <a:pt x="50" y="0"/>
                </a:lnTo>
                <a:lnTo>
                  <a:pt x="50" y="2"/>
                </a:lnTo>
                <a:lnTo>
                  <a:pt x="50" y="5"/>
                </a:lnTo>
                <a:lnTo>
                  <a:pt x="50" y="8"/>
                </a:lnTo>
                <a:lnTo>
                  <a:pt x="50" y="11"/>
                </a:lnTo>
                <a:lnTo>
                  <a:pt x="47" y="14"/>
                </a:lnTo>
                <a:lnTo>
                  <a:pt x="47" y="17"/>
                </a:lnTo>
                <a:lnTo>
                  <a:pt x="47" y="20"/>
                </a:lnTo>
                <a:lnTo>
                  <a:pt x="47" y="20"/>
                </a:lnTo>
                <a:lnTo>
                  <a:pt x="47" y="51"/>
                </a:lnTo>
                <a:lnTo>
                  <a:pt x="47" y="57"/>
                </a:lnTo>
                <a:lnTo>
                  <a:pt x="47" y="60"/>
                </a:lnTo>
                <a:lnTo>
                  <a:pt x="47" y="63"/>
                </a:lnTo>
                <a:lnTo>
                  <a:pt x="47" y="66"/>
                </a:lnTo>
                <a:lnTo>
                  <a:pt x="47" y="72"/>
                </a:lnTo>
                <a:lnTo>
                  <a:pt x="47" y="74"/>
                </a:lnTo>
                <a:lnTo>
                  <a:pt x="47" y="80"/>
                </a:lnTo>
                <a:lnTo>
                  <a:pt x="47" y="83"/>
                </a:lnTo>
                <a:lnTo>
                  <a:pt x="47" y="86"/>
                </a:lnTo>
                <a:lnTo>
                  <a:pt x="47" y="92"/>
                </a:lnTo>
                <a:lnTo>
                  <a:pt x="47" y="95"/>
                </a:lnTo>
                <a:lnTo>
                  <a:pt x="47" y="100"/>
                </a:lnTo>
                <a:lnTo>
                  <a:pt x="47" y="103"/>
                </a:lnTo>
                <a:lnTo>
                  <a:pt x="47" y="109"/>
                </a:lnTo>
                <a:lnTo>
                  <a:pt x="47" y="112"/>
                </a:lnTo>
                <a:lnTo>
                  <a:pt x="47" y="115"/>
                </a:lnTo>
                <a:lnTo>
                  <a:pt x="47" y="115"/>
                </a:lnTo>
                <a:lnTo>
                  <a:pt x="50" y="109"/>
                </a:lnTo>
                <a:lnTo>
                  <a:pt x="50" y="103"/>
                </a:lnTo>
                <a:lnTo>
                  <a:pt x="53" y="97"/>
                </a:lnTo>
                <a:lnTo>
                  <a:pt x="53" y="92"/>
                </a:lnTo>
                <a:lnTo>
                  <a:pt x="56" y="86"/>
                </a:lnTo>
                <a:lnTo>
                  <a:pt x="56" y="83"/>
                </a:lnTo>
                <a:lnTo>
                  <a:pt x="59" y="77"/>
                </a:lnTo>
                <a:lnTo>
                  <a:pt x="59" y="74"/>
                </a:lnTo>
                <a:lnTo>
                  <a:pt x="62" y="69"/>
                </a:lnTo>
                <a:lnTo>
                  <a:pt x="62" y="66"/>
                </a:lnTo>
                <a:lnTo>
                  <a:pt x="65" y="60"/>
                </a:lnTo>
                <a:lnTo>
                  <a:pt x="65" y="57"/>
                </a:lnTo>
                <a:lnTo>
                  <a:pt x="65" y="54"/>
                </a:lnTo>
                <a:lnTo>
                  <a:pt x="68" y="51"/>
                </a:lnTo>
                <a:lnTo>
                  <a:pt x="68" y="46"/>
                </a:lnTo>
                <a:lnTo>
                  <a:pt x="68" y="43"/>
                </a:lnTo>
                <a:lnTo>
                  <a:pt x="71" y="40"/>
                </a:lnTo>
                <a:lnTo>
                  <a:pt x="71" y="34"/>
                </a:lnTo>
                <a:lnTo>
                  <a:pt x="74" y="31"/>
                </a:lnTo>
                <a:lnTo>
                  <a:pt x="74" y="25"/>
                </a:lnTo>
                <a:lnTo>
                  <a:pt x="77" y="20"/>
                </a:lnTo>
                <a:lnTo>
                  <a:pt x="80" y="14"/>
                </a:lnTo>
                <a:lnTo>
                  <a:pt x="80" y="5"/>
                </a:lnTo>
                <a:lnTo>
                  <a:pt x="83" y="0"/>
                </a:lnTo>
                <a:lnTo>
                  <a:pt x="135" y="0"/>
                </a:lnTo>
                <a:lnTo>
                  <a:pt x="59" y="178"/>
                </a:lnTo>
                <a:lnTo>
                  <a:pt x="12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0138" y="9840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0" y="66"/>
              </a:cxn>
              <a:cxn ang="0">
                <a:pos x="91" y="109"/>
              </a:cxn>
              <a:cxn ang="0">
                <a:pos x="56" y="109"/>
              </a:cxn>
              <a:cxn ang="0">
                <a:pos x="53" y="135"/>
              </a:cxn>
              <a:cxn ang="0">
                <a:pos x="91" y="135"/>
              </a:cxn>
              <a:cxn ang="0">
                <a:pos x="85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0" y="66"/>
                </a:lnTo>
                <a:lnTo>
                  <a:pt x="91" y="109"/>
                </a:lnTo>
                <a:lnTo>
                  <a:pt x="56" y="109"/>
                </a:lnTo>
                <a:lnTo>
                  <a:pt x="53" y="135"/>
                </a:lnTo>
                <a:lnTo>
                  <a:pt x="91" y="135"/>
                </a:lnTo>
                <a:lnTo>
                  <a:pt x="85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2" name="Freeform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EditPoints="1"/>
          </xdr:cNvSpPr>
        </xdr:nvSpPr>
        <xdr:spPr>
          <a:xfrm>
            <a:off x="10244" y="9840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85" y="0"/>
              </a:cxn>
              <a:cxn ang="0">
                <a:pos x="97" y="0"/>
              </a:cxn>
              <a:cxn ang="0">
                <a:pos x="109" y="2"/>
              </a:cxn>
              <a:cxn ang="0">
                <a:pos x="118" y="8"/>
              </a:cxn>
              <a:cxn ang="0">
                <a:pos x="123" y="14"/>
              </a:cxn>
              <a:cxn ang="0">
                <a:pos x="129" y="20"/>
              </a:cxn>
              <a:cxn ang="0">
                <a:pos x="132" y="28"/>
              </a:cxn>
              <a:cxn ang="0">
                <a:pos x="135" y="40"/>
              </a:cxn>
              <a:cxn ang="0">
                <a:pos x="135" y="48"/>
              </a:cxn>
              <a:cxn ang="0">
                <a:pos x="135" y="54"/>
              </a:cxn>
              <a:cxn ang="0">
                <a:pos x="135" y="60"/>
              </a:cxn>
              <a:cxn ang="0">
                <a:pos x="132" y="66"/>
              </a:cxn>
              <a:cxn ang="0">
                <a:pos x="129" y="72"/>
              </a:cxn>
              <a:cxn ang="0">
                <a:pos x="129" y="77"/>
              </a:cxn>
              <a:cxn ang="0">
                <a:pos x="126" y="83"/>
              </a:cxn>
              <a:cxn ang="0">
                <a:pos x="120" y="89"/>
              </a:cxn>
              <a:cxn ang="0">
                <a:pos x="118" y="92"/>
              </a:cxn>
              <a:cxn ang="0">
                <a:pos x="115" y="97"/>
              </a:cxn>
              <a:cxn ang="0">
                <a:pos x="109" y="100"/>
              </a:cxn>
              <a:cxn ang="0">
                <a:pos x="103" y="103"/>
              </a:cxn>
              <a:cxn ang="0">
                <a:pos x="126" y="178"/>
              </a:cxn>
              <a:cxn ang="0">
                <a:pos x="59" y="103"/>
              </a:cxn>
              <a:cxn ang="0">
                <a:pos x="0" y="178"/>
              </a:cxn>
              <a:cxn ang="0">
                <a:pos x="65" y="83"/>
              </a:cxn>
              <a:cxn ang="0">
                <a:pos x="70" y="80"/>
              </a:cxn>
              <a:cxn ang="0">
                <a:pos x="76" y="80"/>
              </a:cxn>
              <a:cxn ang="0">
                <a:pos x="79" y="77"/>
              </a:cxn>
              <a:cxn ang="0">
                <a:pos x="82" y="72"/>
              </a:cxn>
              <a:cxn ang="0">
                <a:pos x="85" y="69"/>
              </a:cxn>
              <a:cxn ang="0">
                <a:pos x="85" y="63"/>
              </a:cxn>
              <a:cxn ang="0">
                <a:pos x="88" y="57"/>
              </a:cxn>
              <a:cxn ang="0">
                <a:pos x="88" y="48"/>
              </a:cxn>
              <a:cxn ang="0">
                <a:pos x="85" y="46"/>
              </a:cxn>
              <a:cxn ang="0">
                <a:pos x="79" y="40"/>
              </a:cxn>
              <a:cxn ang="0">
                <a:pos x="73" y="37"/>
              </a:cxn>
              <a:cxn ang="0">
                <a:pos x="62" y="83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79" y="0"/>
                </a:lnTo>
                <a:lnTo>
                  <a:pt x="85" y="0"/>
                </a:lnTo>
                <a:lnTo>
                  <a:pt x="91" y="0"/>
                </a:lnTo>
                <a:lnTo>
                  <a:pt x="97" y="0"/>
                </a:lnTo>
                <a:lnTo>
                  <a:pt x="103" y="2"/>
                </a:lnTo>
                <a:lnTo>
                  <a:pt x="109" y="2"/>
                </a:lnTo>
                <a:lnTo>
                  <a:pt x="112" y="5"/>
                </a:lnTo>
                <a:lnTo>
                  <a:pt x="118" y="8"/>
                </a:lnTo>
                <a:lnTo>
                  <a:pt x="120" y="11"/>
                </a:lnTo>
                <a:lnTo>
                  <a:pt x="123" y="14"/>
                </a:lnTo>
                <a:lnTo>
                  <a:pt x="126" y="17"/>
                </a:lnTo>
                <a:lnTo>
                  <a:pt x="129" y="20"/>
                </a:lnTo>
                <a:lnTo>
                  <a:pt x="132" y="25"/>
                </a:lnTo>
                <a:lnTo>
                  <a:pt x="132" y="28"/>
                </a:lnTo>
                <a:lnTo>
                  <a:pt x="135" y="34"/>
                </a:lnTo>
                <a:lnTo>
                  <a:pt x="135" y="40"/>
                </a:lnTo>
                <a:lnTo>
                  <a:pt x="135" y="46"/>
                </a:lnTo>
                <a:lnTo>
                  <a:pt x="135" y="48"/>
                </a:lnTo>
                <a:lnTo>
                  <a:pt x="135" y="51"/>
                </a:lnTo>
                <a:lnTo>
                  <a:pt x="135" y="54"/>
                </a:lnTo>
                <a:lnTo>
                  <a:pt x="135" y="57"/>
                </a:lnTo>
                <a:lnTo>
                  <a:pt x="135" y="60"/>
                </a:lnTo>
                <a:lnTo>
                  <a:pt x="132" y="63"/>
                </a:lnTo>
                <a:lnTo>
                  <a:pt x="132" y="66"/>
                </a:lnTo>
                <a:lnTo>
                  <a:pt x="132" y="69"/>
                </a:lnTo>
                <a:lnTo>
                  <a:pt x="129" y="72"/>
                </a:lnTo>
                <a:lnTo>
                  <a:pt x="129" y="74"/>
                </a:lnTo>
                <a:lnTo>
                  <a:pt x="129" y="77"/>
                </a:lnTo>
                <a:lnTo>
                  <a:pt x="126" y="80"/>
                </a:lnTo>
                <a:lnTo>
                  <a:pt x="126" y="83"/>
                </a:lnTo>
                <a:lnTo>
                  <a:pt x="123" y="86"/>
                </a:lnTo>
                <a:lnTo>
                  <a:pt x="120" y="89"/>
                </a:lnTo>
                <a:lnTo>
                  <a:pt x="120" y="89"/>
                </a:lnTo>
                <a:lnTo>
                  <a:pt x="118" y="92"/>
                </a:lnTo>
                <a:lnTo>
                  <a:pt x="115" y="95"/>
                </a:lnTo>
                <a:lnTo>
                  <a:pt x="115" y="97"/>
                </a:lnTo>
                <a:lnTo>
                  <a:pt x="112" y="97"/>
                </a:lnTo>
                <a:lnTo>
                  <a:pt x="109" y="100"/>
                </a:lnTo>
                <a:lnTo>
                  <a:pt x="106" y="103"/>
                </a:lnTo>
                <a:lnTo>
                  <a:pt x="103" y="103"/>
                </a:lnTo>
                <a:lnTo>
                  <a:pt x="100" y="103"/>
                </a:lnTo>
                <a:lnTo>
                  <a:pt x="126" y="178"/>
                </a:lnTo>
                <a:lnTo>
                  <a:pt x="73" y="178"/>
                </a:lnTo>
                <a:lnTo>
                  <a:pt x="59" y="103"/>
                </a:lnTo>
                <a:lnTo>
                  <a:pt x="47" y="178"/>
                </a:lnTo>
                <a:lnTo>
                  <a:pt x="0" y="178"/>
                </a:lnTo>
                <a:close/>
                <a:moveTo>
                  <a:pt x="62" y="83"/>
                </a:moveTo>
                <a:lnTo>
                  <a:pt x="65" y="83"/>
                </a:lnTo>
                <a:lnTo>
                  <a:pt x="67" y="83"/>
                </a:lnTo>
                <a:lnTo>
                  <a:pt x="70" y="80"/>
                </a:lnTo>
                <a:lnTo>
                  <a:pt x="73" y="80"/>
                </a:lnTo>
                <a:lnTo>
                  <a:pt x="76" y="80"/>
                </a:lnTo>
                <a:lnTo>
                  <a:pt x="76" y="77"/>
                </a:lnTo>
                <a:lnTo>
                  <a:pt x="79" y="77"/>
                </a:lnTo>
                <a:lnTo>
                  <a:pt x="79" y="74"/>
                </a:lnTo>
                <a:lnTo>
                  <a:pt x="82" y="72"/>
                </a:lnTo>
                <a:lnTo>
                  <a:pt x="85" y="72"/>
                </a:lnTo>
                <a:lnTo>
                  <a:pt x="85" y="69"/>
                </a:lnTo>
                <a:lnTo>
                  <a:pt x="85" y="66"/>
                </a:lnTo>
                <a:lnTo>
                  <a:pt x="85" y="63"/>
                </a:lnTo>
                <a:lnTo>
                  <a:pt x="88" y="60"/>
                </a:lnTo>
                <a:lnTo>
                  <a:pt x="88" y="57"/>
                </a:lnTo>
                <a:lnTo>
                  <a:pt x="88" y="54"/>
                </a:lnTo>
                <a:lnTo>
                  <a:pt x="88" y="48"/>
                </a:lnTo>
                <a:lnTo>
                  <a:pt x="85" y="46"/>
                </a:lnTo>
                <a:lnTo>
                  <a:pt x="85" y="46"/>
                </a:lnTo>
                <a:lnTo>
                  <a:pt x="82" y="43"/>
                </a:lnTo>
                <a:lnTo>
                  <a:pt x="79" y="40"/>
                </a:lnTo>
                <a:lnTo>
                  <a:pt x="76" y="40"/>
                </a:lnTo>
                <a:lnTo>
                  <a:pt x="73" y="37"/>
                </a:lnTo>
                <a:lnTo>
                  <a:pt x="67" y="37"/>
                </a:lnTo>
                <a:lnTo>
                  <a:pt x="62" y="8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3" name="Freeform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10373" y="9834"/>
            <a:ext cx="112" cy="187"/>
          </a:xfrm>
          <a:custGeom>
            <a:avLst/>
            <a:gdLst/>
            <a:ahLst/>
            <a:cxnLst>
              <a:cxn ang="0">
                <a:pos x="12" y="129"/>
              </a:cxn>
              <a:cxn ang="0">
                <a:pos x="15" y="135"/>
              </a:cxn>
              <a:cxn ang="0">
                <a:pos x="21" y="138"/>
              </a:cxn>
              <a:cxn ang="0">
                <a:pos x="27" y="141"/>
              </a:cxn>
              <a:cxn ang="0">
                <a:pos x="33" y="144"/>
              </a:cxn>
              <a:cxn ang="0">
                <a:pos x="39" y="144"/>
              </a:cxn>
              <a:cxn ang="0">
                <a:pos x="47" y="141"/>
              </a:cxn>
              <a:cxn ang="0">
                <a:pos x="50" y="135"/>
              </a:cxn>
              <a:cxn ang="0">
                <a:pos x="50" y="129"/>
              </a:cxn>
              <a:cxn ang="0">
                <a:pos x="47" y="121"/>
              </a:cxn>
              <a:cxn ang="0">
                <a:pos x="41" y="115"/>
              </a:cxn>
              <a:cxn ang="0">
                <a:pos x="33" y="106"/>
              </a:cxn>
              <a:cxn ang="0">
                <a:pos x="27" y="98"/>
              </a:cxn>
              <a:cxn ang="0">
                <a:pos x="21" y="92"/>
              </a:cxn>
              <a:cxn ang="0">
                <a:pos x="18" y="86"/>
              </a:cxn>
              <a:cxn ang="0">
                <a:pos x="15" y="78"/>
              </a:cxn>
              <a:cxn ang="0">
                <a:pos x="15" y="72"/>
              </a:cxn>
              <a:cxn ang="0">
                <a:pos x="18" y="63"/>
              </a:cxn>
              <a:cxn ang="0">
                <a:pos x="18" y="54"/>
              </a:cxn>
              <a:cxn ang="0">
                <a:pos x="24" y="43"/>
              </a:cxn>
              <a:cxn ang="0">
                <a:pos x="27" y="34"/>
              </a:cxn>
              <a:cxn ang="0">
                <a:pos x="33" y="26"/>
              </a:cxn>
              <a:cxn ang="0">
                <a:pos x="39" y="20"/>
              </a:cxn>
              <a:cxn ang="0">
                <a:pos x="44" y="14"/>
              </a:cxn>
              <a:cxn ang="0">
                <a:pos x="53" y="8"/>
              </a:cxn>
              <a:cxn ang="0">
                <a:pos x="62" y="6"/>
              </a:cxn>
              <a:cxn ang="0">
                <a:pos x="68" y="3"/>
              </a:cxn>
              <a:cxn ang="0">
                <a:pos x="77" y="0"/>
              </a:cxn>
              <a:cxn ang="0">
                <a:pos x="89" y="3"/>
              </a:cxn>
              <a:cxn ang="0">
                <a:pos x="100" y="6"/>
              </a:cxn>
              <a:cxn ang="0">
                <a:pos x="112" y="11"/>
              </a:cxn>
              <a:cxn ang="0">
                <a:pos x="97" y="57"/>
              </a:cxn>
              <a:cxn ang="0">
                <a:pos x="89" y="49"/>
              </a:cxn>
              <a:cxn ang="0">
                <a:pos x="80" y="46"/>
              </a:cxn>
              <a:cxn ang="0">
                <a:pos x="71" y="49"/>
              </a:cxn>
              <a:cxn ang="0">
                <a:pos x="68" y="52"/>
              </a:cxn>
              <a:cxn ang="0">
                <a:pos x="65" y="57"/>
              </a:cxn>
              <a:cxn ang="0">
                <a:pos x="65" y="60"/>
              </a:cxn>
              <a:cxn ang="0">
                <a:pos x="65" y="63"/>
              </a:cxn>
              <a:cxn ang="0">
                <a:pos x="68" y="66"/>
              </a:cxn>
              <a:cxn ang="0">
                <a:pos x="74" y="72"/>
              </a:cxn>
              <a:cxn ang="0">
                <a:pos x="77" y="75"/>
              </a:cxn>
              <a:cxn ang="0">
                <a:pos x="83" y="80"/>
              </a:cxn>
              <a:cxn ang="0">
                <a:pos x="86" y="86"/>
              </a:cxn>
              <a:cxn ang="0">
                <a:pos x="91" y="89"/>
              </a:cxn>
              <a:cxn ang="0">
                <a:pos x="94" y="95"/>
              </a:cxn>
              <a:cxn ang="0">
                <a:pos x="97" y="103"/>
              </a:cxn>
              <a:cxn ang="0">
                <a:pos x="100" y="112"/>
              </a:cxn>
              <a:cxn ang="0">
                <a:pos x="100" y="121"/>
              </a:cxn>
              <a:cxn ang="0">
                <a:pos x="97" y="135"/>
              </a:cxn>
              <a:cxn ang="0">
                <a:pos x="94" y="147"/>
              </a:cxn>
              <a:cxn ang="0">
                <a:pos x="86" y="158"/>
              </a:cxn>
              <a:cxn ang="0">
                <a:pos x="77" y="170"/>
              </a:cxn>
              <a:cxn ang="0">
                <a:pos x="65" y="178"/>
              </a:cxn>
              <a:cxn ang="0">
                <a:pos x="53" y="184"/>
              </a:cxn>
              <a:cxn ang="0">
                <a:pos x="41" y="187"/>
              </a:cxn>
              <a:cxn ang="0">
                <a:pos x="27" y="187"/>
              </a:cxn>
              <a:cxn ang="0">
                <a:pos x="15" y="184"/>
              </a:cxn>
              <a:cxn ang="0">
                <a:pos x="3" y="181"/>
              </a:cxn>
            </a:cxnLst>
            <a:rect l="0" t="0" r="r" b="b"/>
            <a:pathLst>
              <a:path w="112" h="187">
                <a:moveTo>
                  <a:pt x="9" y="124"/>
                </a:moveTo>
                <a:lnTo>
                  <a:pt x="9" y="126"/>
                </a:lnTo>
                <a:lnTo>
                  <a:pt x="12" y="129"/>
                </a:lnTo>
                <a:lnTo>
                  <a:pt x="12" y="129"/>
                </a:lnTo>
                <a:lnTo>
                  <a:pt x="15" y="132"/>
                </a:lnTo>
                <a:lnTo>
                  <a:pt x="15" y="135"/>
                </a:lnTo>
                <a:lnTo>
                  <a:pt x="18" y="135"/>
                </a:lnTo>
                <a:lnTo>
                  <a:pt x="18" y="138"/>
                </a:lnTo>
                <a:lnTo>
                  <a:pt x="21" y="138"/>
                </a:lnTo>
                <a:lnTo>
                  <a:pt x="21" y="141"/>
                </a:lnTo>
                <a:lnTo>
                  <a:pt x="24" y="141"/>
                </a:lnTo>
                <a:lnTo>
                  <a:pt x="27" y="141"/>
                </a:lnTo>
                <a:lnTo>
                  <a:pt x="27" y="144"/>
                </a:lnTo>
                <a:lnTo>
                  <a:pt x="30" y="144"/>
                </a:lnTo>
                <a:lnTo>
                  <a:pt x="33" y="144"/>
                </a:lnTo>
                <a:lnTo>
                  <a:pt x="33" y="144"/>
                </a:lnTo>
                <a:lnTo>
                  <a:pt x="36" y="144"/>
                </a:lnTo>
                <a:lnTo>
                  <a:pt x="39" y="144"/>
                </a:lnTo>
                <a:lnTo>
                  <a:pt x="41" y="144"/>
                </a:lnTo>
                <a:lnTo>
                  <a:pt x="44" y="144"/>
                </a:lnTo>
                <a:lnTo>
                  <a:pt x="47" y="141"/>
                </a:lnTo>
                <a:lnTo>
                  <a:pt x="47" y="138"/>
                </a:lnTo>
                <a:lnTo>
                  <a:pt x="50" y="138"/>
                </a:lnTo>
                <a:lnTo>
                  <a:pt x="50" y="135"/>
                </a:lnTo>
                <a:lnTo>
                  <a:pt x="53" y="132"/>
                </a:lnTo>
                <a:lnTo>
                  <a:pt x="53" y="129"/>
                </a:lnTo>
                <a:lnTo>
                  <a:pt x="50" y="129"/>
                </a:lnTo>
                <a:lnTo>
                  <a:pt x="50" y="126"/>
                </a:lnTo>
                <a:lnTo>
                  <a:pt x="50" y="124"/>
                </a:lnTo>
                <a:lnTo>
                  <a:pt x="47" y="121"/>
                </a:lnTo>
                <a:lnTo>
                  <a:pt x="44" y="121"/>
                </a:lnTo>
                <a:lnTo>
                  <a:pt x="44" y="118"/>
                </a:lnTo>
                <a:lnTo>
                  <a:pt x="41" y="115"/>
                </a:lnTo>
                <a:lnTo>
                  <a:pt x="39" y="112"/>
                </a:lnTo>
                <a:lnTo>
                  <a:pt x="36" y="109"/>
                </a:lnTo>
                <a:lnTo>
                  <a:pt x="33" y="106"/>
                </a:lnTo>
                <a:lnTo>
                  <a:pt x="30" y="103"/>
                </a:lnTo>
                <a:lnTo>
                  <a:pt x="27" y="101"/>
                </a:lnTo>
                <a:lnTo>
                  <a:pt x="27" y="98"/>
                </a:lnTo>
                <a:lnTo>
                  <a:pt x="24" y="98"/>
                </a:lnTo>
                <a:lnTo>
                  <a:pt x="24" y="95"/>
                </a:lnTo>
                <a:lnTo>
                  <a:pt x="21" y="92"/>
                </a:lnTo>
                <a:lnTo>
                  <a:pt x="21" y="92"/>
                </a:lnTo>
                <a:lnTo>
                  <a:pt x="18" y="89"/>
                </a:lnTo>
                <a:lnTo>
                  <a:pt x="18" y="86"/>
                </a:lnTo>
                <a:lnTo>
                  <a:pt x="18" y="83"/>
                </a:lnTo>
                <a:lnTo>
                  <a:pt x="18" y="80"/>
                </a:lnTo>
                <a:lnTo>
                  <a:pt x="15" y="78"/>
                </a:lnTo>
                <a:lnTo>
                  <a:pt x="15" y="72"/>
                </a:lnTo>
                <a:lnTo>
                  <a:pt x="15" y="72"/>
                </a:lnTo>
                <a:lnTo>
                  <a:pt x="15" y="72"/>
                </a:lnTo>
                <a:lnTo>
                  <a:pt x="15" y="69"/>
                </a:lnTo>
                <a:lnTo>
                  <a:pt x="15" y="69"/>
                </a:lnTo>
                <a:lnTo>
                  <a:pt x="18" y="63"/>
                </a:lnTo>
                <a:lnTo>
                  <a:pt x="18" y="60"/>
                </a:lnTo>
                <a:lnTo>
                  <a:pt x="18" y="57"/>
                </a:lnTo>
                <a:lnTo>
                  <a:pt x="18" y="54"/>
                </a:lnTo>
                <a:lnTo>
                  <a:pt x="21" y="52"/>
                </a:lnTo>
                <a:lnTo>
                  <a:pt x="21" y="46"/>
                </a:lnTo>
                <a:lnTo>
                  <a:pt x="24" y="43"/>
                </a:lnTo>
                <a:lnTo>
                  <a:pt x="24" y="40"/>
                </a:lnTo>
                <a:lnTo>
                  <a:pt x="24" y="37"/>
                </a:lnTo>
                <a:lnTo>
                  <a:pt x="27" y="34"/>
                </a:lnTo>
                <a:lnTo>
                  <a:pt x="27" y="31"/>
                </a:lnTo>
                <a:lnTo>
                  <a:pt x="30" y="29"/>
                </a:lnTo>
                <a:lnTo>
                  <a:pt x="33" y="26"/>
                </a:lnTo>
                <a:lnTo>
                  <a:pt x="33" y="26"/>
                </a:lnTo>
                <a:lnTo>
                  <a:pt x="36" y="23"/>
                </a:lnTo>
                <a:lnTo>
                  <a:pt x="39" y="20"/>
                </a:lnTo>
                <a:lnTo>
                  <a:pt x="41" y="17"/>
                </a:lnTo>
                <a:lnTo>
                  <a:pt x="41" y="14"/>
                </a:lnTo>
                <a:lnTo>
                  <a:pt x="44" y="14"/>
                </a:lnTo>
                <a:lnTo>
                  <a:pt x="47" y="11"/>
                </a:lnTo>
                <a:lnTo>
                  <a:pt x="50" y="11"/>
                </a:lnTo>
                <a:lnTo>
                  <a:pt x="53" y="8"/>
                </a:lnTo>
                <a:lnTo>
                  <a:pt x="56" y="8"/>
                </a:lnTo>
                <a:lnTo>
                  <a:pt x="59" y="6"/>
                </a:lnTo>
                <a:lnTo>
                  <a:pt x="62" y="6"/>
                </a:lnTo>
                <a:lnTo>
                  <a:pt x="62" y="6"/>
                </a:lnTo>
                <a:lnTo>
                  <a:pt x="65" y="3"/>
                </a:lnTo>
                <a:lnTo>
                  <a:pt x="68" y="3"/>
                </a:lnTo>
                <a:lnTo>
                  <a:pt x="71" y="3"/>
                </a:lnTo>
                <a:lnTo>
                  <a:pt x="74" y="3"/>
                </a:lnTo>
                <a:lnTo>
                  <a:pt x="77" y="0"/>
                </a:lnTo>
                <a:lnTo>
                  <a:pt x="80" y="0"/>
                </a:lnTo>
                <a:lnTo>
                  <a:pt x="83" y="3"/>
                </a:lnTo>
                <a:lnTo>
                  <a:pt x="89" y="3"/>
                </a:lnTo>
                <a:lnTo>
                  <a:pt x="91" y="3"/>
                </a:lnTo>
                <a:lnTo>
                  <a:pt x="97" y="3"/>
                </a:lnTo>
                <a:lnTo>
                  <a:pt x="100" y="6"/>
                </a:lnTo>
                <a:lnTo>
                  <a:pt x="103" y="6"/>
                </a:lnTo>
                <a:lnTo>
                  <a:pt x="109" y="8"/>
                </a:lnTo>
                <a:lnTo>
                  <a:pt x="112" y="11"/>
                </a:lnTo>
                <a:lnTo>
                  <a:pt x="103" y="66"/>
                </a:lnTo>
                <a:lnTo>
                  <a:pt x="100" y="60"/>
                </a:lnTo>
                <a:lnTo>
                  <a:pt x="97" y="57"/>
                </a:lnTo>
                <a:lnTo>
                  <a:pt x="94" y="54"/>
                </a:lnTo>
                <a:lnTo>
                  <a:pt x="91" y="52"/>
                </a:lnTo>
                <a:lnTo>
                  <a:pt x="89" y="49"/>
                </a:lnTo>
                <a:lnTo>
                  <a:pt x="86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9"/>
                </a:lnTo>
                <a:lnTo>
                  <a:pt x="71" y="49"/>
                </a:lnTo>
                <a:lnTo>
                  <a:pt x="71" y="49"/>
                </a:lnTo>
                <a:lnTo>
                  <a:pt x="68" y="52"/>
                </a:lnTo>
                <a:lnTo>
                  <a:pt x="68" y="52"/>
                </a:lnTo>
                <a:lnTo>
                  <a:pt x="65" y="54"/>
                </a:lnTo>
                <a:lnTo>
                  <a:pt x="65" y="54"/>
                </a:lnTo>
                <a:lnTo>
                  <a:pt x="65" y="57"/>
                </a:lnTo>
                <a:lnTo>
                  <a:pt x="65" y="57"/>
                </a:lnTo>
                <a:lnTo>
                  <a:pt x="65" y="60"/>
                </a:lnTo>
                <a:lnTo>
                  <a:pt x="65" y="60"/>
                </a:lnTo>
                <a:lnTo>
                  <a:pt x="65" y="60"/>
                </a:lnTo>
                <a:lnTo>
                  <a:pt x="65" y="63"/>
                </a:lnTo>
                <a:lnTo>
                  <a:pt x="65" y="63"/>
                </a:lnTo>
                <a:lnTo>
                  <a:pt x="68" y="63"/>
                </a:lnTo>
                <a:lnTo>
                  <a:pt x="68" y="66"/>
                </a:lnTo>
                <a:lnTo>
                  <a:pt x="68" y="66"/>
                </a:lnTo>
                <a:lnTo>
                  <a:pt x="71" y="69"/>
                </a:lnTo>
                <a:lnTo>
                  <a:pt x="71" y="69"/>
                </a:lnTo>
                <a:lnTo>
                  <a:pt x="74" y="72"/>
                </a:lnTo>
                <a:lnTo>
                  <a:pt x="74" y="72"/>
                </a:lnTo>
                <a:lnTo>
                  <a:pt x="77" y="75"/>
                </a:lnTo>
                <a:lnTo>
                  <a:pt x="77" y="75"/>
                </a:lnTo>
                <a:lnTo>
                  <a:pt x="80" y="78"/>
                </a:lnTo>
                <a:lnTo>
                  <a:pt x="80" y="78"/>
                </a:lnTo>
                <a:lnTo>
                  <a:pt x="83" y="80"/>
                </a:lnTo>
                <a:lnTo>
                  <a:pt x="83" y="83"/>
                </a:lnTo>
                <a:lnTo>
                  <a:pt x="86" y="83"/>
                </a:lnTo>
                <a:lnTo>
                  <a:pt x="86" y="86"/>
                </a:lnTo>
                <a:lnTo>
                  <a:pt x="89" y="86"/>
                </a:lnTo>
                <a:lnTo>
                  <a:pt x="89" y="89"/>
                </a:lnTo>
                <a:lnTo>
                  <a:pt x="91" y="89"/>
                </a:lnTo>
                <a:lnTo>
                  <a:pt x="94" y="92"/>
                </a:lnTo>
                <a:lnTo>
                  <a:pt x="94" y="95"/>
                </a:lnTo>
                <a:lnTo>
                  <a:pt x="94" y="95"/>
                </a:lnTo>
                <a:lnTo>
                  <a:pt x="97" y="98"/>
                </a:lnTo>
                <a:lnTo>
                  <a:pt x="97" y="101"/>
                </a:lnTo>
                <a:lnTo>
                  <a:pt x="97" y="103"/>
                </a:lnTo>
                <a:lnTo>
                  <a:pt x="100" y="106"/>
                </a:lnTo>
                <a:lnTo>
                  <a:pt x="100" y="109"/>
                </a:lnTo>
                <a:lnTo>
                  <a:pt x="100" y="112"/>
                </a:lnTo>
                <a:lnTo>
                  <a:pt x="100" y="115"/>
                </a:lnTo>
                <a:lnTo>
                  <a:pt x="100" y="118"/>
                </a:lnTo>
                <a:lnTo>
                  <a:pt x="100" y="121"/>
                </a:lnTo>
                <a:lnTo>
                  <a:pt x="100" y="126"/>
                </a:lnTo>
                <a:lnTo>
                  <a:pt x="97" y="132"/>
                </a:lnTo>
                <a:lnTo>
                  <a:pt x="97" y="135"/>
                </a:lnTo>
                <a:lnTo>
                  <a:pt x="97" y="141"/>
                </a:lnTo>
                <a:lnTo>
                  <a:pt x="94" y="144"/>
                </a:lnTo>
                <a:lnTo>
                  <a:pt x="94" y="147"/>
                </a:lnTo>
                <a:lnTo>
                  <a:pt x="91" y="152"/>
                </a:lnTo>
                <a:lnTo>
                  <a:pt x="89" y="155"/>
                </a:lnTo>
                <a:lnTo>
                  <a:pt x="86" y="158"/>
                </a:lnTo>
                <a:lnTo>
                  <a:pt x="83" y="164"/>
                </a:lnTo>
                <a:lnTo>
                  <a:pt x="80" y="167"/>
                </a:lnTo>
                <a:lnTo>
                  <a:pt x="77" y="170"/>
                </a:lnTo>
                <a:lnTo>
                  <a:pt x="74" y="173"/>
                </a:lnTo>
                <a:lnTo>
                  <a:pt x="71" y="175"/>
                </a:lnTo>
                <a:lnTo>
                  <a:pt x="65" y="178"/>
                </a:lnTo>
                <a:lnTo>
                  <a:pt x="62" y="181"/>
                </a:lnTo>
                <a:lnTo>
                  <a:pt x="59" y="181"/>
                </a:lnTo>
                <a:lnTo>
                  <a:pt x="53" y="184"/>
                </a:lnTo>
                <a:lnTo>
                  <a:pt x="50" y="184"/>
                </a:lnTo>
                <a:lnTo>
                  <a:pt x="44" y="187"/>
                </a:lnTo>
                <a:lnTo>
                  <a:pt x="41" y="187"/>
                </a:lnTo>
                <a:lnTo>
                  <a:pt x="36" y="187"/>
                </a:lnTo>
                <a:lnTo>
                  <a:pt x="33" y="187"/>
                </a:lnTo>
                <a:lnTo>
                  <a:pt x="27" y="187"/>
                </a:lnTo>
                <a:lnTo>
                  <a:pt x="24" y="187"/>
                </a:lnTo>
                <a:lnTo>
                  <a:pt x="18" y="187"/>
                </a:lnTo>
                <a:lnTo>
                  <a:pt x="15" y="184"/>
                </a:lnTo>
                <a:lnTo>
                  <a:pt x="12" y="184"/>
                </a:lnTo>
                <a:lnTo>
                  <a:pt x="9" y="184"/>
                </a:lnTo>
                <a:lnTo>
                  <a:pt x="3" y="181"/>
                </a:lnTo>
                <a:lnTo>
                  <a:pt x="0" y="181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4" name="Freeform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10479" y="9840"/>
            <a:ext cx="74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7" y="0"/>
              </a:cxn>
              <a:cxn ang="0">
                <a:pos x="74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4" h="178">
                <a:moveTo>
                  <a:pt x="0" y="178"/>
                </a:moveTo>
                <a:lnTo>
                  <a:pt x="27" y="0"/>
                </a:lnTo>
                <a:lnTo>
                  <a:pt x="74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5" name="Freeform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EditPoints="1"/>
          </xdr:cNvSpPr>
        </xdr:nvSpPr>
        <xdr:spPr>
          <a:xfrm>
            <a:off x="10547" y="9840"/>
            <a:ext cx="135" cy="181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79" y="2"/>
              </a:cxn>
              <a:cxn ang="0">
                <a:pos x="88" y="5"/>
              </a:cxn>
              <a:cxn ang="0">
                <a:pos x="97" y="5"/>
              </a:cxn>
              <a:cxn ang="0">
                <a:pos x="106" y="11"/>
              </a:cxn>
              <a:cxn ang="0">
                <a:pos x="112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8" y="141"/>
              </a:cxn>
              <a:cxn ang="0">
                <a:pos x="109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8" y="178"/>
              </a:cxn>
              <a:cxn ang="0">
                <a:pos x="62" y="178"/>
              </a:cxn>
              <a:cxn ang="0">
                <a:pos x="53" y="178"/>
              </a:cxn>
              <a:cxn ang="0">
                <a:pos x="47" y="181"/>
              </a:cxn>
              <a:cxn ang="0">
                <a:pos x="0" y="181"/>
              </a:cxn>
              <a:cxn ang="0">
                <a:pos x="56" y="135"/>
              </a:cxn>
              <a:cxn ang="0">
                <a:pos x="62" y="135"/>
              </a:cxn>
              <a:cxn ang="0">
                <a:pos x="68" y="132"/>
              </a:cxn>
              <a:cxn ang="0">
                <a:pos x="73" y="126"/>
              </a:cxn>
              <a:cxn ang="0">
                <a:pos x="76" y="120"/>
              </a:cxn>
              <a:cxn ang="0">
                <a:pos x="79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3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6" y="0"/>
                </a:lnTo>
                <a:lnTo>
                  <a:pt x="68" y="0"/>
                </a:lnTo>
                <a:lnTo>
                  <a:pt x="70" y="0"/>
                </a:lnTo>
                <a:lnTo>
                  <a:pt x="76" y="2"/>
                </a:lnTo>
                <a:lnTo>
                  <a:pt x="79" y="2"/>
                </a:lnTo>
                <a:lnTo>
                  <a:pt x="85" y="2"/>
                </a:lnTo>
                <a:lnTo>
                  <a:pt x="88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9" y="14"/>
                </a:lnTo>
                <a:lnTo>
                  <a:pt x="112" y="17"/>
                </a:lnTo>
                <a:lnTo>
                  <a:pt x="118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8" y="141"/>
                </a:lnTo>
                <a:lnTo>
                  <a:pt x="112" y="146"/>
                </a:lnTo>
                <a:lnTo>
                  <a:pt x="109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8" y="178"/>
                </a:lnTo>
                <a:lnTo>
                  <a:pt x="65" y="178"/>
                </a:lnTo>
                <a:lnTo>
                  <a:pt x="62" y="178"/>
                </a:lnTo>
                <a:lnTo>
                  <a:pt x="59" y="178"/>
                </a:lnTo>
                <a:lnTo>
                  <a:pt x="53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3" y="135"/>
                </a:move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2"/>
                </a:lnTo>
                <a:lnTo>
                  <a:pt x="68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6" y="120"/>
                </a:lnTo>
                <a:lnTo>
                  <a:pt x="79" y="115"/>
                </a:lnTo>
                <a:lnTo>
                  <a:pt x="79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8" y="46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6" name="Freeform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EditPoints="1"/>
          </xdr:cNvSpPr>
        </xdr:nvSpPr>
        <xdr:spPr>
          <a:xfrm>
            <a:off x="10670" y="9840"/>
            <a:ext cx="136" cy="178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127" y="5"/>
              </a:cxn>
              <a:cxn ang="0">
                <a:pos x="127" y="14"/>
              </a:cxn>
              <a:cxn ang="0">
                <a:pos x="130" y="25"/>
              </a:cxn>
              <a:cxn ang="0">
                <a:pos x="130" y="37"/>
              </a:cxn>
              <a:cxn ang="0">
                <a:pos x="130" y="48"/>
              </a:cxn>
              <a:cxn ang="0">
                <a:pos x="130" y="60"/>
              </a:cxn>
              <a:cxn ang="0">
                <a:pos x="130" y="72"/>
              </a:cxn>
              <a:cxn ang="0">
                <a:pos x="130" y="83"/>
              </a:cxn>
              <a:cxn ang="0">
                <a:pos x="133" y="95"/>
              </a:cxn>
              <a:cxn ang="0">
                <a:pos x="133" y="106"/>
              </a:cxn>
              <a:cxn ang="0">
                <a:pos x="133" y="118"/>
              </a:cxn>
              <a:cxn ang="0">
                <a:pos x="136" y="129"/>
              </a:cxn>
              <a:cxn ang="0">
                <a:pos x="136" y="141"/>
              </a:cxn>
              <a:cxn ang="0">
                <a:pos x="136" y="152"/>
              </a:cxn>
              <a:cxn ang="0">
                <a:pos x="136" y="164"/>
              </a:cxn>
              <a:cxn ang="0">
                <a:pos x="136" y="172"/>
              </a:cxn>
              <a:cxn ang="0">
                <a:pos x="89" y="178"/>
              </a:cxn>
              <a:cxn ang="0">
                <a:pos x="56" y="155"/>
              </a:cxn>
              <a:cxn ang="0">
                <a:pos x="0" y="178"/>
              </a:cxn>
              <a:cxn ang="0">
                <a:pos x="89" y="115"/>
              </a:cxn>
              <a:cxn ang="0">
                <a:pos x="89" y="109"/>
              </a:cxn>
              <a:cxn ang="0">
                <a:pos x="89" y="100"/>
              </a:cxn>
              <a:cxn ang="0">
                <a:pos x="89" y="92"/>
              </a:cxn>
              <a:cxn ang="0">
                <a:pos x="89" y="77"/>
              </a:cxn>
              <a:cxn ang="0">
                <a:pos x="89" y="66"/>
              </a:cxn>
              <a:cxn ang="0">
                <a:pos x="92" y="54"/>
              </a:cxn>
              <a:cxn ang="0">
                <a:pos x="92" y="46"/>
              </a:cxn>
              <a:cxn ang="0">
                <a:pos x="89" y="46"/>
              </a:cxn>
              <a:cxn ang="0">
                <a:pos x="89" y="51"/>
              </a:cxn>
              <a:cxn ang="0">
                <a:pos x="86" y="60"/>
              </a:cxn>
              <a:cxn ang="0">
                <a:pos x="83" y="66"/>
              </a:cxn>
              <a:cxn ang="0">
                <a:pos x="80" y="77"/>
              </a:cxn>
              <a:cxn ang="0">
                <a:pos x="77" y="86"/>
              </a:cxn>
              <a:cxn ang="0">
                <a:pos x="74" y="97"/>
              </a:cxn>
              <a:cxn ang="0">
                <a:pos x="71" y="112"/>
              </a:cxn>
              <a:cxn ang="0">
                <a:pos x="89" y="118"/>
              </a:cxn>
            </a:cxnLst>
            <a:rect l="0" t="0" r="r" b="b"/>
            <a:pathLst>
              <a:path w="136" h="178">
                <a:moveTo>
                  <a:pt x="0" y="178"/>
                </a:moveTo>
                <a:lnTo>
                  <a:pt x="68" y="0"/>
                </a:lnTo>
                <a:lnTo>
                  <a:pt x="127" y="0"/>
                </a:lnTo>
                <a:lnTo>
                  <a:pt x="127" y="5"/>
                </a:lnTo>
                <a:lnTo>
                  <a:pt x="127" y="8"/>
                </a:lnTo>
                <a:lnTo>
                  <a:pt x="127" y="14"/>
                </a:lnTo>
                <a:lnTo>
                  <a:pt x="127" y="20"/>
                </a:lnTo>
                <a:lnTo>
                  <a:pt x="130" y="25"/>
                </a:lnTo>
                <a:lnTo>
                  <a:pt x="130" y="31"/>
                </a:lnTo>
                <a:lnTo>
                  <a:pt x="130" y="37"/>
                </a:lnTo>
                <a:lnTo>
                  <a:pt x="130" y="43"/>
                </a:lnTo>
                <a:lnTo>
                  <a:pt x="130" y="48"/>
                </a:lnTo>
                <a:lnTo>
                  <a:pt x="130" y="54"/>
                </a:lnTo>
                <a:lnTo>
                  <a:pt x="130" y="60"/>
                </a:lnTo>
                <a:lnTo>
                  <a:pt x="130" y="66"/>
                </a:lnTo>
                <a:lnTo>
                  <a:pt x="130" y="72"/>
                </a:lnTo>
                <a:lnTo>
                  <a:pt x="130" y="77"/>
                </a:lnTo>
                <a:lnTo>
                  <a:pt x="130" y="83"/>
                </a:lnTo>
                <a:lnTo>
                  <a:pt x="130" y="89"/>
                </a:lnTo>
                <a:lnTo>
                  <a:pt x="133" y="95"/>
                </a:lnTo>
                <a:lnTo>
                  <a:pt x="133" y="100"/>
                </a:lnTo>
                <a:lnTo>
                  <a:pt x="133" y="106"/>
                </a:lnTo>
                <a:lnTo>
                  <a:pt x="133" y="112"/>
                </a:lnTo>
                <a:lnTo>
                  <a:pt x="133" y="118"/>
                </a:lnTo>
                <a:lnTo>
                  <a:pt x="133" y="123"/>
                </a:lnTo>
                <a:lnTo>
                  <a:pt x="136" y="129"/>
                </a:lnTo>
                <a:lnTo>
                  <a:pt x="136" y="135"/>
                </a:lnTo>
                <a:lnTo>
                  <a:pt x="136" y="141"/>
                </a:lnTo>
                <a:lnTo>
                  <a:pt x="136" y="146"/>
                </a:lnTo>
                <a:lnTo>
                  <a:pt x="136" y="152"/>
                </a:lnTo>
                <a:lnTo>
                  <a:pt x="136" y="158"/>
                </a:lnTo>
                <a:lnTo>
                  <a:pt x="136" y="164"/>
                </a:lnTo>
                <a:lnTo>
                  <a:pt x="136" y="169"/>
                </a:lnTo>
                <a:lnTo>
                  <a:pt x="136" y="172"/>
                </a:lnTo>
                <a:lnTo>
                  <a:pt x="136" y="178"/>
                </a:lnTo>
                <a:lnTo>
                  <a:pt x="89" y="178"/>
                </a:lnTo>
                <a:lnTo>
                  <a:pt x="89" y="155"/>
                </a:lnTo>
                <a:lnTo>
                  <a:pt x="56" y="155"/>
                </a:lnTo>
                <a:lnTo>
                  <a:pt x="48" y="178"/>
                </a:lnTo>
                <a:lnTo>
                  <a:pt x="0" y="178"/>
                </a:lnTo>
                <a:close/>
                <a:moveTo>
                  <a:pt x="89" y="118"/>
                </a:moveTo>
                <a:lnTo>
                  <a:pt x="89" y="115"/>
                </a:lnTo>
                <a:lnTo>
                  <a:pt x="89" y="112"/>
                </a:lnTo>
                <a:lnTo>
                  <a:pt x="89" y="109"/>
                </a:lnTo>
                <a:lnTo>
                  <a:pt x="89" y="106"/>
                </a:lnTo>
                <a:lnTo>
                  <a:pt x="89" y="100"/>
                </a:lnTo>
                <a:lnTo>
                  <a:pt x="89" y="97"/>
                </a:lnTo>
                <a:lnTo>
                  <a:pt x="89" y="92"/>
                </a:lnTo>
                <a:lnTo>
                  <a:pt x="89" y="86"/>
                </a:lnTo>
                <a:lnTo>
                  <a:pt x="89" y="77"/>
                </a:lnTo>
                <a:lnTo>
                  <a:pt x="89" y="72"/>
                </a:lnTo>
                <a:lnTo>
                  <a:pt x="89" y="66"/>
                </a:lnTo>
                <a:lnTo>
                  <a:pt x="89" y="60"/>
                </a:lnTo>
                <a:lnTo>
                  <a:pt x="92" y="54"/>
                </a:lnTo>
                <a:lnTo>
                  <a:pt x="92" y="51"/>
                </a:lnTo>
                <a:lnTo>
                  <a:pt x="92" y="46"/>
                </a:lnTo>
                <a:lnTo>
                  <a:pt x="92" y="43"/>
                </a:lnTo>
                <a:lnTo>
                  <a:pt x="89" y="46"/>
                </a:lnTo>
                <a:lnTo>
                  <a:pt x="89" y="48"/>
                </a:lnTo>
                <a:lnTo>
                  <a:pt x="89" y="51"/>
                </a:lnTo>
                <a:lnTo>
                  <a:pt x="86" y="54"/>
                </a:lnTo>
                <a:lnTo>
                  <a:pt x="86" y="60"/>
                </a:lnTo>
                <a:lnTo>
                  <a:pt x="86" y="63"/>
                </a:lnTo>
                <a:lnTo>
                  <a:pt x="83" y="66"/>
                </a:lnTo>
                <a:lnTo>
                  <a:pt x="83" y="72"/>
                </a:lnTo>
                <a:lnTo>
                  <a:pt x="80" y="77"/>
                </a:lnTo>
                <a:lnTo>
                  <a:pt x="80" y="83"/>
                </a:lnTo>
                <a:lnTo>
                  <a:pt x="77" y="86"/>
                </a:lnTo>
                <a:lnTo>
                  <a:pt x="74" y="92"/>
                </a:lnTo>
                <a:lnTo>
                  <a:pt x="74" y="97"/>
                </a:lnTo>
                <a:lnTo>
                  <a:pt x="71" y="103"/>
                </a:lnTo>
                <a:lnTo>
                  <a:pt x="71" y="112"/>
                </a:lnTo>
                <a:lnTo>
                  <a:pt x="68" y="118"/>
                </a:lnTo>
                <a:lnTo>
                  <a:pt x="89" y="11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7" name="Freeform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EditPoints="1"/>
          </xdr:cNvSpPr>
        </xdr:nvSpPr>
        <xdr:spPr>
          <a:xfrm>
            <a:off x="10815" y="9840"/>
            <a:ext cx="135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0" y="0"/>
              </a:cxn>
              <a:cxn ang="0">
                <a:pos x="82" y="2"/>
              </a:cxn>
              <a:cxn ang="0">
                <a:pos x="91" y="5"/>
              </a:cxn>
              <a:cxn ang="0">
                <a:pos x="97" y="5"/>
              </a:cxn>
              <a:cxn ang="0">
                <a:pos x="106" y="11"/>
              </a:cxn>
              <a:cxn ang="0">
                <a:pos x="111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7" y="178"/>
              </a:cxn>
              <a:cxn ang="0">
                <a:pos x="61" y="178"/>
              </a:cxn>
              <a:cxn ang="0">
                <a:pos x="56" y="178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67" y="132"/>
              </a:cxn>
              <a:cxn ang="0">
                <a:pos x="73" y="126"/>
              </a:cxn>
              <a:cxn ang="0">
                <a:pos x="79" y="120"/>
              </a:cxn>
              <a:cxn ang="0">
                <a:pos x="82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6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0" y="0"/>
                </a:lnTo>
                <a:lnTo>
                  <a:pt x="76" y="2"/>
                </a:lnTo>
                <a:lnTo>
                  <a:pt x="82" y="2"/>
                </a:lnTo>
                <a:lnTo>
                  <a:pt x="85" y="2"/>
                </a:lnTo>
                <a:lnTo>
                  <a:pt x="91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8" y="14"/>
                </a:lnTo>
                <a:lnTo>
                  <a:pt x="111" y="17"/>
                </a:lnTo>
                <a:lnTo>
                  <a:pt x="117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1" y="146"/>
                </a:lnTo>
                <a:lnTo>
                  <a:pt x="108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7" y="178"/>
                </a:lnTo>
                <a:lnTo>
                  <a:pt x="64" y="178"/>
                </a:lnTo>
                <a:lnTo>
                  <a:pt x="61" y="178"/>
                </a:lnTo>
                <a:lnTo>
                  <a:pt x="58" y="178"/>
                </a:lnTo>
                <a:lnTo>
                  <a:pt x="56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6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67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9" y="120"/>
                </a:lnTo>
                <a:lnTo>
                  <a:pt x="79" y="115"/>
                </a:lnTo>
                <a:lnTo>
                  <a:pt x="82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7" y="46"/>
                </a:lnTo>
                <a:lnTo>
                  <a:pt x="56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8" name="Freeform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9688" y="9825"/>
            <a:ext cx="64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5" y="12"/>
              </a:cxn>
              <a:cxn ang="0">
                <a:pos x="62" y="15"/>
              </a:cxn>
              <a:cxn ang="0">
                <a:pos x="64" y="0"/>
              </a:cxn>
              <a:cxn ang="0">
                <a:pos x="47" y="0"/>
              </a:cxn>
              <a:cxn ang="0">
                <a:pos x="62" y="15"/>
              </a:cxn>
            </a:cxnLst>
            <a:rect l="0" t="0" r="r" b="b"/>
            <a:pathLst>
              <a:path w="64" h="29">
                <a:moveTo>
                  <a:pt x="62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5" y="12"/>
                </a:lnTo>
                <a:lnTo>
                  <a:pt x="62" y="15"/>
                </a:lnTo>
                <a:lnTo>
                  <a:pt x="64" y="0"/>
                </a:lnTo>
                <a:lnTo>
                  <a:pt x="47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" name="Freeform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/>
        </xdr:nvSpPr>
        <xdr:spPr>
          <a:xfrm>
            <a:off x="9702" y="9837"/>
            <a:ext cx="48" cy="123"/>
          </a:xfrm>
          <a:custGeom>
            <a:avLst/>
            <a:gdLst/>
            <a:ahLst/>
            <a:cxnLst>
              <a:cxn ang="0">
                <a:pos x="30" y="121"/>
              </a:cxn>
              <a:cxn ang="0">
                <a:pos x="30" y="123"/>
              </a:cxn>
              <a:cxn ang="0">
                <a:pos x="48" y="5"/>
              </a:cxn>
              <a:cxn ang="0">
                <a:pos x="21" y="0"/>
              </a:cxn>
              <a:cxn ang="0">
                <a:pos x="3" y="118"/>
              </a:cxn>
              <a:cxn ang="0">
                <a:pos x="0" y="121"/>
              </a:cxn>
              <a:cxn ang="0">
                <a:pos x="30" y="121"/>
              </a:cxn>
            </a:cxnLst>
            <a:rect l="0" t="0" r="r" b="b"/>
            <a:pathLst>
              <a:path w="48" h="123">
                <a:moveTo>
                  <a:pt x="30" y="121"/>
                </a:moveTo>
                <a:lnTo>
                  <a:pt x="30" y="123"/>
                </a:lnTo>
                <a:lnTo>
                  <a:pt x="48" y="5"/>
                </a:lnTo>
                <a:lnTo>
                  <a:pt x="21" y="0"/>
                </a:lnTo>
                <a:lnTo>
                  <a:pt x="3" y="118"/>
                </a:lnTo>
                <a:lnTo>
                  <a:pt x="0" y="121"/>
                </a:lnTo>
                <a:lnTo>
                  <a:pt x="30" y="1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0" name="Freeform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/>
        </xdr:nvSpPr>
        <xdr:spPr>
          <a:xfrm>
            <a:off x="9702" y="9958"/>
            <a:ext cx="30" cy="11"/>
          </a:xfrm>
          <a:custGeom>
            <a:avLst/>
            <a:gdLst/>
            <a:ahLst/>
            <a:cxnLst>
              <a:cxn ang="0">
                <a:pos x="27" y="2"/>
              </a:cxn>
              <a:cxn ang="0">
                <a:pos x="27" y="11"/>
              </a:cxn>
              <a:cxn ang="0">
                <a:pos x="30" y="5"/>
              </a:cxn>
              <a:cxn ang="0">
                <a:pos x="30" y="5"/>
              </a:cxn>
              <a:cxn ang="0">
                <a:pos x="30" y="2"/>
              </a:cxn>
              <a:cxn ang="0">
                <a:pos x="30" y="0"/>
              </a:cxn>
              <a:cxn ang="0">
                <a:pos x="0" y="0"/>
              </a:cxn>
              <a:cxn ang="0">
                <a:pos x="0" y="2"/>
              </a:cxn>
              <a:cxn ang="0">
                <a:pos x="0" y="5"/>
              </a:cxn>
              <a:cxn ang="0">
                <a:pos x="0" y="5"/>
              </a:cxn>
              <a:cxn ang="0">
                <a:pos x="0" y="0"/>
              </a:cxn>
              <a:cxn ang="0">
                <a:pos x="0" y="8"/>
              </a:cxn>
              <a:cxn ang="0">
                <a:pos x="27" y="2"/>
              </a:cxn>
            </a:cxnLst>
            <a:rect l="0" t="0" r="r" b="b"/>
            <a:pathLst>
              <a:path w="30" h="11">
                <a:moveTo>
                  <a:pt x="27" y="2"/>
                </a:moveTo>
                <a:lnTo>
                  <a:pt x="27" y="11"/>
                </a:lnTo>
                <a:lnTo>
                  <a:pt x="30" y="5"/>
                </a:lnTo>
                <a:lnTo>
                  <a:pt x="30" y="5"/>
                </a:lnTo>
                <a:lnTo>
                  <a:pt x="30" y="2"/>
                </a:lnTo>
                <a:lnTo>
                  <a:pt x="30" y="0"/>
                </a:lnTo>
                <a:lnTo>
                  <a:pt x="0" y="0"/>
                </a:lnTo>
                <a:lnTo>
                  <a:pt x="0" y="2"/>
                </a:lnTo>
                <a:lnTo>
                  <a:pt x="0" y="5"/>
                </a:lnTo>
                <a:lnTo>
                  <a:pt x="0" y="5"/>
                </a:lnTo>
                <a:lnTo>
                  <a:pt x="0" y="0"/>
                </a:lnTo>
                <a:lnTo>
                  <a:pt x="0" y="8"/>
                </a:lnTo>
                <a:lnTo>
                  <a:pt x="27" y="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1" name="Freeform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9702" y="9960"/>
            <a:ext cx="30" cy="29"/>
          </a:xfrm>
          <a:custGeom>
            <a:avLst/>
            <a:gdLst/>
            <a:ahLst/>
            <a:cxnLst>
              <a:cxn ang="0">
                <a:pos x="24" y="3"/>
              </a:cxn>
              <a:cxn ang="0">
                <a:pos x="24" y="3"/>
              </a:cxn>
              <a:cxn ang="0">
                <a:pos x="21" y="0"/>
              </a:cxn>
              <a:cxn ang="0">
                <a:pos x="24" y="3"/>
              </a:cxn>
              <a:cxn ang="0">
                <a:pos x="30" y="3"/>
              </a:cxn>
              <a:cxn ang="0">
                <a:pos x="27" y="3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27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3" y="15"/>
              </a:cxn>
              <a:cxn ang="0">
                <a:pos x="6" y="24"/>
              </a:cxn>
              <a:cxn ang="0">
                <a:pos x="9" y="24"/>
              </a:cxn>
              <a:cxn ang="0">
                <a:pos x="15" y="29"/>
              </a:cxn>
              <a:cxn ang="0">
                <a:pos x="21" y="29"/>
              </a:cxn>
              <a:cxn ang="0">
                <a:pos x="24" y="29"/>
              </a:cxn>
              <a:cxn ang="0">
                <a:pos x="24" y="3"/>
              </a:cxn>
            </a:cxnLst>
            <a:rect l="0" t="0" r="r" b="b"/>
            <a:pathLst>
              <a:path w="30" h="29">
                <a:moveTo>
                  <a:pt x="24" y="3"/>
                </a:moveTo>
                <a:lnTo>
                  <a:pt x="24" y="3"/>
                </a:lnTo>
                <a:lnTo>
                  <a:pt x="21" y="0"/>
                </a:lnTo>
                <a:lnTo>
                  <a:pt x="24" y="3"/>
                </a:lnTo>
                <a:lnTo>
                  <a:pt x="30" y="3"/>
                </a:lnTo>
                <a:lnTo>
                  <a:pt x="27" y="3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27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3" y="15"/>
                </a:lnTo>
                <a:lnTo>
                  <a:pt x="6" y="24"/>
                </a:lnTo>
                <a:lnTo>
                  <a:pt x="9" y="24"/>
                </a:lnTo>
                <a:lnTo>
                  <a:pt x="15" y="29"/>
                </a:lnTo>
                <a:lnTo>
                  <a:pt x="21" y="29"/>
                </a:lnTo>
                <a:lnTo>
                  <a:pt x="24" y="29"/>
                </a:lnTo>
                <a:lnTo>
                  <a:pt x="24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2" name="Freeform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/>
        </xdr:nvSpPr>
        <xdr:spPr>
          <a:xfrm>
            <a:off x="9726" y="9960"/>
            <a:ext cx="21" cy="29"/>
          </a:xfrm>
          <a:custGeom>
            <a:avLst/>
            <a:gdLst/>
            <a:ahLst/>
            <a:cxnLst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3" y="0"/>
              </a:cxn>
              <a:cxn ang="0">
                <a:pos x="0" y="0"/>
              </a:cxn>
              <a:cxn ang="0">
                <a:pos x="0" y="29"/>
              </a:cxn>
              <a:cxn ang="0">
                <a:pos x="3" y="29"/>
              </a:cxn>
              <a:cxn ang="0">
                <a:pos x="9" y="29"/>
              </a:cxn>
              <a:cxn ang="0">
                <a:pos x="15" y="26"/>
              </a:cxn>
              <a:cxn ang="0">
                <a:pos x="21" y="24"/>
              </a:cxn>
              <a:cxn ang="0">
                <a:pos x="0" y="3"/>
              </a:cxn>
            </a:cxnLst>
            <a:rect l="0" t="0" r="r" b="b"/>
            <a:pathLst>
              <a:path w="21" h="29">
                <a:moveTo>
                  <a:pt x="0" y="3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lnTo>
                  <a:pt x="0" y="0"/>
                </a:lnTo>
                <a:lnTo>
                  <a:pt x="0" y="29"/>
                </a:lnTo>
                <a:lnTo>
                  <a:pt x="3" y="29"/>
                </a:lnTo>
                <a:lnTo>
                  <a:pt x="9" y="29"/>
                </a:lnTo>
                <a:lnTo>
                  <a:pt x="15" y="26"/>
                </a:lnTo>
                <a:lnTo>
                  <a:pt x="21" y="24"/>
                </a:lnTo>
                <a:lnTo>
                  <a:pt x="0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" name="Freeform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/>
        </xdr:nvSpPr>
        <xdr:spPr>
          <a:xfrm>
            <a:off x="9723" y="9960"/>
            <a:ext cx="32" cy="24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6" y="0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" y="3"/>
              </a:cxn>
              <a:cxn ang="0">
                <a:pos x="24" y="24"/>
              </a:cxn>
              <a:cxn ang="0">
                <a:pos x="27" y="18"/>
              </a:cxn>
              <a:cxn ang="0">
                <a:pos x="27" y="18"/>
              </a:cxn>
              <a:cxn ang="0">
                <a:pos x="27" y="15"/>
              </a:cxn>
              <a:cxn ang="0">
                <a:pos x="29" y="15"/>
              </a:cxn>
              <a:cxn ang="0">
                <a:pos x="29" y="12"/>
              </a:cxn>
              <a:cxn ang="0">
                <a:pos x="29" y="12"/>
              </a:cxn>
              <a:cxn ang="0">
                <a:pos x="32" y="3"/>
              </a:cxn>
              <a:cxn ang="0">
                <a:pos x="32" y="3"/>
              </a:cxn>
              <a:cxn ang="0">
                <a:pos x="32" y="3"/>
              </a:cxn>
              <a:cxn ang="0">
                <a:pos x="3" y="0"/>
              </a:cxn>
            </a:cxnLst>
            <a:rect l="0" t="0" r="r" b="b"/>
            <a:pathLst>
              <a:path w="32" h="24">
                <a:moveTo>
                  <a:pt x="3" y="0"/>
                </a:moveTo>
                <a:lnTo>
                  <a:pt x="3" y="3"/>
                </a:lnTo>
                <a:lnTo>
                  <a:pt x="3" y="3"/>
                </a:lnTo>
                <a:lnTo>
                  <a:pt x="6" y="0"/>
                </a:ln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" y="3"/>
                </a:lnTo>
                <a:lnTo>
                  <a:pt x="24" y="24"/>
                </a:lnTo>
                <a:lnTo>
                  <a:pt x="27" y="18"/>
                </a:lnTo>
                <a:lnTo>
                  <a:pt x="27" y="18"/>
                </a:lnTo>
                <a:lnTo>
                  <a:pt x="27" y="15"/>
                </a:lnTo>
                <a:lnTo>
                  <a:pt x="29" y="15"/>
                </a:lnTo>
                <a:lnTo>
                  <a:pt x="29" y="12"/>
                </a:lnTo>
                <a:lnTo>
                  <a:pt x="29" y="12"/>
                </a:lnTo>
                <a:lnTo>
                  <a:pt x="32" y="3"/>
                </a:lnTo>
                <a:lnTo>
                  <a:pt x="32" y="3"/>
                </a:lnTo>
                <a:lnTo>
                  <a:pt x="32" y="3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" name="Freeform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9726" y="9825"/>
            <a:ext cx="47" cy="138"/>
          </a:xfrm>
          <a:custGeom>
            <a:avLst/>
            <a:gdLst/>
            <a:ahLst/>
            <a:cxnLst>
              <a:cxn ang="0">
                <a:pos x="32" y="0"/>
              </a:cxn>
              <a:cxn ang="0">
                <a:pos x="21" y="12"/>
              </a:cxn>
              <a:cxn ang="0">
                <a:pos x="0" y="135"/>
              </a:cxn>
              <a:cxn ang="0">
                <a:pos x="29" y="138"/>
              </a:cxn>
              <a:cxn ang="0">
                <a:pos x="47" y="15"/>
              </a:cxn>
              <a:cxn ang="0">
                <a:pos x="32" y="29"/>
              </a:cxn>
              <a:cxn ang="0">
                <a:pos x="32" y="0"/>
              </a:cxn>
              <a:cxn ang="0">
                <a:pos x="21" y="0"/>
              </a:cxn>
              <a:cxn ang="0">
                <a:pos x="21" y="12"/>
              </a:cxn>
              <a:cxn ang="0">
                <a:pos x="32" y="0"/>
              </a:cxn>
            </a:cxnLst>
            <a:rect l="0" t="0" r="r" b="b"/>
            <a:pathLst>
              <a:path w="47" h="138">
                <a:moveTo>
                  <a:pt x="32" y="0"/>
                </a:moveTo>
                <a:lnTo>
                  <a:pt x="21" y="12"/>
                </a:lnTo>
                <a:lnTo>
                  <a:pt x="0" y="135"/>
                </a:lnTo>
                <a:lnTo>
                  <a:pt x="29" y="138"/>
                </a:lnTo>
                <a:lnTo>
                  <a:pt x="47" y="15"/>
                </a:lnTo>
                <a:lnTo>
                  <a:pt x="32" y="29"/>
                </a:lnTo>
                <a:lnTo>
                  <a:pt x="32" y="0"/>
                </a:lnTo>
                <a:lnTo>
                  <a:pt x="21" y="0"/>
                </a:lnTo>
                <a:lnTo>
                  <a:pt x="21" y="12"/>
                </a:lnTo>
                <a:lnTo>
                  <a:pt x="3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" name="Freeform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/>
        </xdr:nvSpPr>
        <xdr:spPr>
          <a:xfrm>
            <a:off x="9758" y="9825"/>
            <a:ext cx="65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36" y="12"/>
              </a:cxn>
              <a:cxn ang="0">
                <a:pos x="62" y="15"/>
              </a:cxn>
              <a:cxn ang="0">
                <a:pos x="65" y="0"/>
              </a:cxn>
              <a:cxn ang="0">
                <a:pos x="50" y="0"/>
              </a:cxn>
              <a:cxn ang="0">
                <a:pos x="62" y="15"/>
              </a:cxn>
            </a:cxnLst>
            <a:rect l="0" t="0" r="r" b="b"/>
            <a:pathLst>
              <a:path w="65" h="29">
                <a:moveTo>
                  <a:pt x="62" y="15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36" y="12"/>
                </a:lnTo>
                <a:lnTo>
                  <a:pt x="62" y="15"/>
                </a:lnTo>
                <a:lnTo>
                  <a:pt x="65" y="0"/>
                </a:lnTo>
                <a:lnTo>
                  <a:pt x="50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" name="Freeform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/>
        </xdr:nvSpPr>
        <xdr:spPr>
          <a:xfrm>
            <a:off x="9776" y="9837"/>
            <a:ext cx="44" cy="123"/>
          </a:xfrm>
          <a:custGeom>
            <a:avLst/>
            <a:gdLst/>
            <a:ahLst/>
            <a:cxnLst>
              <a:cxn ang="0">
                <a:pos x="26" y="123"/>
              </a:cxn>
              <a:cxn ang="0">
                <a:pos x="26" y="123"/>
              </a:cxn>
              <a:cxn ang="0">
                <a:pos x="44" y="5"/>
              </a:cxn>
              <a:cxn ang="0">
                <a:pos x="18" y="0"/>
              </a:cxn>
              <a:cxn ang="0">
                <a:pos x="0" y="118"/>
              </a:cxn>
              <a:cxn ang="0">
                <a:pos x="26" y="123"/>
              </a:cxn>
            </a:cxnLst>
            <a:rect l="0" t="0" r="r" b="b"/>
            <a:pathLst>
              <a:path w="44" h="123">
                <a:moveTo>
                  <a:pt x="26" y="123"/>
                </a:moveTo>
                <a:lnTo>
                  <a:pt x="26" y="123"/>
                </a:lnTo>
                <a:lnTo>
                  <a:pt x="44" y="5"/>
                </a:lnTo>
                <a:lnTo>
                  <a:pt x="18" y="0"/>
                </a:lnTo>
                <a:lnTo>
                  <a:pt x="0" y="118"/>
                </a:lnTo>
                <a:lnTo>
                  <a:pt x="26" y="12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" name="Freeform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/>
        </xdr:nvSpPr>
        <xdr:spPr>
          <a:xfrm>
            <a:off x="9761" y="9955"/>
            <a:ext cx="41" cy="54"/>
          </a:xfrm>
          <a:custGeom>
            <a:avLst/>
            <a:gdLst/>
            <a:ahLst/>
            <a:cxnLst>
              <a:cxn ang="0">
                <a:pos x="24" y="54"/>
              </a:cxn>
              <a:cxn ang="0">
                <a:pos x="24" y="52"/>
              </a:cxn>
              <a:cxn ang="0">
                <a:pos x="27" y="46"/>
              </a:cxn>
              <a:cxn ang="0">
                <a:pos x="30" y="43"/>
              </a:cxn>
              <a:cxn ang="0">
                <a:pos x="33" y="37"/>
              </a:cxn>
              <a:cxn ang="0">
                <a:pos x="36" y="31"/>
              </a:cxn>
              <a:cxn ang="0">
                <a:pos x="36" y="26"/>
              </a:cxn>
              <a:cxn ang="0">
                <a:pos x="39" y="17"/>
              </a:cxn>
              <a:cxn ang="0">
                <a:pos x="41" y="11"/>
              </a:cxn>
              <a:cxn ang="0">
                <a:pos x="41" y="5"/>
              </a:cxn>
              <a:cxn ang="0">
                <a:pos x="15" y="0"/>
              </a:cxn>
              <a:cxn ang="0">
                <a:pos x="12" y="5"/>
              </a:cxn>
              <a:cxn ang="0">
                <a:pos x="12" y="11"/>
              </a:cxn>
              <a:cxn ang="0">
                <a:pos x="9" y="17"/>
              </a:cxn>
              <a:cxn ang="0">
                <a:pos x="9" y="23"/>
              </a:cxn>
              <a:cxn ang="0">
                <a:pos x="6" y="26"/>
              </a:cxn>
              <a:cxn ang="0">
                <a:pos x="6" y="29"/>
              </a:cxn>
              <a:cxn ang="0">
                <a:pos x="3" y="34"/>
              </a:cxn>
              <a:cxn ang="0">
                <a:pos x="0" y="37"/>
              </a:cxn>
              <a:cxn ang="0">
                <a:pos x="3" y="34"/>
              </a:cxn>
              <a:cxn ang="0">
                <a:pos x="24" y="54"/>
              </a:cxn>
            </a:cxnLst>
            <a:rect l="0" t="0" r="r" b="b"/>
            <a:pathLst>
              <a:path w="41" h="54">
                <a:moveTo>
                  <a:pt x="24" y="54"/>
                </a:moveTo>
                <a:lnTo>
                  <a:pt x="24" y="52"/>
                </a:lnTo>
                <a:lnTo>
                  <a:pt x="27" y="46"/>
                </a:lnTo>
                <a:lnTo>
                  <a:pt x="30" y="43"/>
                </a:lnTo>
                <a:lnTo>
                  <a:pt x="33" y="37"/>
                </a:lnTo>
                <a:lnTo>
                  <a:pt x="36" y="31"/>
                </a:lnTo>
                <a:lnTo>
                  <a:pt x="36" y="26"/>
                </a:lnTo>
                <a:lnTo>
                  <a:pt x="39" y="17"/>
                </a:lnTo>
                <a:lnTo>
                  <a:pt x="41" y="11"/>
                </a:lnTo>
                <a:lnTo>
                  <a:pt x="41" y="5"/>
                </a:lnTo>
                <a:lnTo>
                  <a:pt x="15" y="0"/>
                </a:lnTo>
                <a:lnTo>
                  <a:pt x="12" y="5"/>
                </a:lnTo>
                <a:lnTo>
                  <a:pt x="12" y="11"/>
                </a:lnTo>
                <a:lnTo>
                  <a:pt x="9" y="17"/>
                </a:lnTo>
                <a:lnTo>
                  <a:pt x="9" y="23"/>
                </a:lnTo>
                <a:lnTo>
                  <a:pt x="6" y="26"/>
                </a:lnTo>
                <a:lnTo>
                  <a:pt x="6" y="29"/>
                </a:lnTo>
                <a:lnTo>
                  <a:pt x="3" y="34"/>
                </a:lnTo>
                <a:lnTo>
                  <a:pt x="0" y="37"/>
                </a:lnTo>
                <a:lnTo>
                  <a:pt x="3" y="34"/>
                </a:lnTo>
                <a:lnTo>
                  <a:pt x="24" y="5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" name="Freeform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/>
        </xdr:nvSpPr>
        <xdr:spPr>
          <a:xfrm>
            <a:off x="9744" y="9989"/>
            <a:ext cx="41" cy="41"/>
          </a:xfrm>
          <a:custGeom>
            <a:avLst/>
            <a:gdLst/>
            <a:ahLst/>
            <a:cxnLst>
              <a:cxn ang="0">
                <a:pos x="6" y="41"/>
              </a:cxn>
              <a:cxn ang="0">
                <a:pos x="6" y="41"/>
              </a:cxn>
              <a:cxn ang="0">
                <a:pos x="11" y="41"/>
              </a:cxn>
              <a:cxn ang="0">
                <a:pos x="14" y="38"/>
              </a:cxn>
              <a:cxn ang="0">
                <a:pos x="20" y="35"/>
              </a:cxn>
              <a:cxn ang="0">
                <a:pos x="26" y="32"/>
              </a:cxn>
              <a:cxn ang="0">
                <a:pos x="29" y="29"/>
              </a:cxn>
              <a:cxn ang="0">
                <a:pos x="32" y="26"/>
              </a:cxn>
              <a:cxn ang="0">
                <a:pos x="35" y="23"/>
              </a:cxn>
              <a:cxn ang="0">
                <a:pos x="41" y="20"/>
              </a:cxn>
              <a:cxn ang="0">
                <a:pos x="20" y="0"/>
              </a:cxn>
              <a:cxn ang="0">
                <a:pos x="17" y="3"/>
              </a:cxn>
              <a:cxn ang="0">
                <a:pos x="11" y="6"/>
              </a:cxn>
              <a:cxn ang="0">
                <a:pos x="11" y="9"/>
              </a:cxn>
              <a:cxn ang="0">
                <a:pos x="8" y="12"/>
              </a:cxn>
              <a:cxn ang="0">
                <a:pos x="6" y="12"/>
              </a:cxn>
              <a:cxn ang="0">
                <a:pos x="6" y="12"/>
              </a:cxn>
              <a:cxn ang="0">
                <a:pos x="0" y="15"/>
              </a:cxn>
              <a:cxn ang="0">
                <a:pos x="0" y="15"/>
              </a:cxn>
              <a:cxn ang="0">
                <a:pos x="6" y="41"/>
              </a:cxn>
            </a:cxnLst>
            <a:rect l="0" t="0" r="r" b="b"/>
            <a:pathLst>
              <a:path w="41" h="41">
                <a:moveTo>
                  <a:pt x="6" y="41"/>
                </a:moveTo>
                <a:lnTo>
                  <a:pt x="6" y="41"/>
                </a:lnTo>
                <a:lnTo>
                  <a:pt x="11" y="41"/>
                </a:lnTo>
                <a:lnTo>
                  <a:pt x="14" y="38"/>
                </a:lnTo>
                <a:lnTo>
                  <a:pt x="20" y="35"/>
                </a:lnTo>
                <a:lnTo>
                  <a:pt x="26" y="32"/>
                </a:lnTo>
                <a:lnTo>
                  <a:pt x="29" y="29"/>
                </a:lnTo>
                <a:lnTo>
                  <a:pt x="32" y="26"/>
                </a:lnTo>
                <a:lnTo>
                  <a:pt x="35" y="23"/>
                </a:lnTo>
                <a:lnTo>
                  <a:pt x="41" y="20"/>
                </a:lnTo>
                <a:lnTo>
                  <a:pt x="20" y="0"/>
                </a:lnTo>
                <a:lnTo>
                  <a:pt x="17" y="3"/>
                </a:lnTo>
                <a:lnTo>
                  <a:pt x="11" y="6"/>
                </a:lnTo>
                <a:lnTo>
                  <a:pt x="11" y="9"/>
                </a:lnTo>
                <a:lnTo>
                  <a:pt x="8" y="12"/>
                </a:lnTo>
                <a:lnTo>
                  <a:pt x="6" y="12"/>
                </a:lnTo>
                <a:lnTo>
                  <a:pt x="6" y="12"/>
                </a:lnTo>
                <a:lnTo>
                  <a:pt x="0" y="15"/>
                </a:lnTo>
                <a:lnTo>
                  <a:pt x="0" y="15"/>
                </a:lnTo>
                <a:lnTo>
                  <a:pt x="6" y="4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/>
        </xdr:nvSpPr>
        <xdr:spPr>
          <a:xfrm>
            <a:off x="9717" y="10004"/>
            <a:ext cx="33" cy="31"/>
          </a:xfrm>
          <a:custGeom>
            <a:avLst/>
            <a:gdLst/>
            <a:ahLst/>
            <a:cxnLst>
              <a:cxn ang="0">
                <a:pos x="0" y="31"/>
              </a:cxn>
              <a:cxn ang="0">
                <a:pos x="0" y="31"/>
              </a:cxn>
              <a:cxn ang="0">
                <a:pos x="3" y="31"/>
              </a:cxn>
              <a:cxn ang="0">
                <a:pos x="9" y="31"/>
              </a:cxn>
              <a:cxn ang="0">
                <a:pos x="15" y="31"/>
              </a:cxn>
              <a:cxn ang="0">
                <a:pos x="18" y="31"/>
              </a:cxn>
              <a:cxn ang="0">
                <a:pos x="21" y="28"/>
              </a:cxn>
              <a:cxn ang="0">
                <a:pos x="24" y="28"/>
              </a:cxn>
              <a:cxn ang="0">
                <a:pos x="30" y="28"/>
              </a:cxn>
              <a:cxn ang="0">
                <a:pos x="33" y="26"/>
              </a:cxn>
              <a:cxn ang="0">
                <a:pos x="27" y="0"/>
              </a:cxn>
              <a:cxn ang="0">
                <a:pos x="24" y="0"/>
              </a:cxn>
              <a:cxn ang="0">
                <a:pos x="21" y="0"/>
              </a:cxn>
              <a:cxn ang="0">
                <a:pos x="18" y="3"/>
              </a:cxn>
              <a:cxn ang="0">
                <a:pos x="12" y="3"/>
              </a:cxn>
              <a:cxn ang="0">
                <a:pos x="9" y="3"/>
              </a:cxn>
              <a:cxn ang="0">
                <a:pos x="6" y="5"/>
              </a:cxn>
              <a:cxn ang="0">
                <a:pos x="3" y="5"/>
              </a:cxn>
              <a:cxn ang="0">
                <a:pos x="0" y="5"/>
              </a:cxn>
              <a:cxn ang="0">
                <a:pos x="0" y="5"/>
              </a:cxn>
              <a:cxn ang="0">
                <a:pos x="0" y="31"/>
              </a:cxn>
            </a:cxnLst>
            <a:rect l="0" t="0" r="r" b="b"/>
            <a:pathLst>
              <a:path w="33" h="31">
                <a:moveTo>
                  <a:pt x="0" y="31"/>
                </a:moveTo>
                <a:lnTo>
                  <a:pt x="0" y="31"/>
                </a:lnTo>
                <a:lnTo>
                  <a:pt x="3" y="31"/>
                </a:lnTo>
                <a:lnTo>
                  <a:pt x="9" y="31"/>
                </a:lnTo>
                <a:lnTo>
                  <a:pt x="15" y="31"/>
                </a:lnTo>
                <a:lnTo>
                  <a:pt x="18" y="31"/>
                </a:lnTo>
                <a:lnTo>
                  <a:pt x="21" y="28"/>
                </a:lnTo>
                <a:lnTo>
                  <a:pt x="24" y="28"/>
                </a:lnTo>
                <a:lnTo>
                  <a:pt x="30" y="28"/>
                </a:lnTo>
                <a:lnTo>
                  <a:pt x="33" y="26"/>
                </a:lnTo>
                <a:lnTo>
                  <a:pt x="27" y="0"/>
                </a:lnTo>
                <a:lnTo>
                  <a:pt x="24" y="0"/>
                </a:lnTo>
                <a:lnTo>
                  <a:pt x="21" y="0"/>
                </a:lnTo>
                <a:lnTo>
                  <a:pt x="18" y="3"/>
                </a:lnTo>
                <a:lnTo>
                  <a:pt x="12" y="3"/>
                </a:lnTo>
                <a:lnTo>
                  <a:pt x="9" y="3"/>
                </a:lnTo>
                <a:lnTo>
                  <a:pt x="6" y="5"/>
                </a:lnTo>
                <a:lnTo>
                  <a:pt x="3" y="5"/>
                </a:lnTo>
                <a:lnTo>
                  <a:pt x="0" y="5"/>
                </a:lnTo>
                <a:lnTo>
                  <a:pt x="0" y="5"/>
                </a:lnTo>
                <a:lnTo>
                  <a:pt x="0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9670" y="9998"/>
            <a:ext cx="47" cy="37"/>
          </a:xfrm>
          <a:custGeom>
            <a:avLst/>
            <a:gdLst/>
            <a:ahLst/>
            <a:cxnLst>
              <a:cxn ang="0">
                <a:pos x="0" y="20"/>
              </a:cxn>
              <a:cxn ang="0">
                <a:pos x="3" y="23"/>
              </a:cxn>
              <a:cxn ang="0">
                <a:pos x="6" y="26"/>
              </a:cxn>
              <a:cxn ang="0">
                <a:pos x="12" y="29"/>
              </a:cxn>
              <a:cxn ang="0">
                <a:pos x="18" y="32"/>
              </a:cxn>
              <a:cxn ang="0">
                <a:pos x="21" y="34"/>
              </a:cxn>
              <a:cxn ang="0">
                <a:pos x="27" y="34"/>
              </a:cxn>
              <a:cxn ang="0">
                <a:pos x="35" y="37"/>
              </a:cxn>
              <a:cxn ang="0">
                <a:pos x="41" y="37"/>
              </a:cxn>
              <a:cxn ang="0">
                <a:pos x="47" y="37"/>
              </a:cxn>
              <a:cxn ang="0">
                <a:pos x="47" y="11"/>
              </a:cxn>
              <a:cxn ang="0">
                <a:pos x="44" y="9"/>
              </a:cxn>
              <a:cxn ang="0">
                <a:pos x="38" y="9"/>
              </a:cxn>
              <a:cxn ang="0">
                <a:pos x="35" y="9"/>
              </a:cxn>
              <a:cxn ang="0">
                <a:pos x="32" y="9"/>
              </a:cxn>
              <a:cxn ang="0">
                <a:pos x="27" y="6"/>
              </a:cxn>
              <a:cxn ang="0">
                <a:pos x="24" y="6"/>
              </a:cxn>
              <a:cxn ang="0">
                <a:pos x="21" y="3"/>
              </a:cxn>
              <a:cxn ang="0">
                <a:pos x="21" y="0"/>
              </a:cxn>
              <a:cxn ang="0">
                <a:pos x="21" y="3"/>
              </a:cxn>
              <a:cxn ang="0">
                <a:pos x="0" y="20"/>
              </a:cxn>
            </a:cxnLst>
            <a:rect l="0" t="0" r="r" b="b"/>
            <a:pathLst>
              <a:path w="47" h="37">
                <a:moveTo>
                  <a:pt x="0" y="20"/>
                </a:moveTo>
                <a:lnTo>
                  <a:pt x="3" y="23"/>
                </a:lnTo>
                <a:lnTo>
                  <a:pt x="6" y="26"/>
                </a:lnTo>
                <a:lnTo>
                  <a:pt x="12" y="29"/>
                </a:lnTo>
                <a:lnTo>
                  <a:pt x="18" y="32"/>
                </a:lnTo>
                <a:lnTo>
                  <a:pt x="21" y="34"/>
                </a:lnTo>
                <a:lnTo>
                  <a:pt x="27" y="34"/>
                </a:lnTo>
                <a:lnTo>
                  <a:pt x="35" y="37"/>
                </a:lnTo>
                <a:lnTo>
                  <a:pt x="41" y="37"/>
                </a:lnTo>
                <a:lnTo>
                  <a:pt x="47" y="37"/>
                </a:lnTo>
                <a:lnTo>
                  <a:pt x="47" y="11"/>
                </a:lnTo>
                <a:lnTo>
                  <a:pt x="44" y="9"/>
                </a:lnTo>
                <a:lnTo>
                  <a:pt x="38" y="9"/>
                </a:lnTo>
                <a:lnTo>
                  <a:pt x="35" y="9"/>
                </a:lnTo>
                <a:lnTo>
                  <a:pt x="32" y="9"/>
                </a:lnTo>
                <a:lnTo>
                  <a:pt x="27" y="6"/>
                </a:lnTo>
                <a:lnTo>
                  <a:pt x="24" y="6"/>
                </a:lnTo>
                <a:lnTo>
                  <a:pt x="21" y="3"/>
                </a:lnTo>
                <a:lnTo>
                  <a:pt x="21" y="0"/>
                </a:lnTo>
                <a:lnTo>
                  <a:pt x="21" y="3"/>
                </a:lnTo>
                <a:lnTo>
                  <a:pt x="0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9655" y="9972"/>
            <a:ext cx="36" cy="4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3"/>
              </a:cxn>
              <a:cxn ang="0">
                <a:pos x="0" y="9"/>
              </a:cxn>
              <a:cxn ang="0">
                <a:pos x="0" y="14"/>
              </a:cxn>
              <a:cxn ang="0">
                <a:pos x="3" y="20"/>
              </a:cxn>
              <a:cxn ang="0">
                <a:pos x="3" y="29"/>
              </a:cxn>
              <a:cxn ang="0">
                <a:pos x="6" y="32"/>
              </a:cxn>
              <a:cxn ang="0">
                <a:pos x="9" y="37"/>
              </a:cxn>
              <a:cxn ang="0">
                <a:pos x="12" y="43"/>
              </a:cxn>
              <a:cxn ang="0">
                <a:pos x="15" y="46"/>
              </a:cxn>
              <a:cxn ang="0">
                <a:pos x="36" y="29"/>
              </a:cxn>
              <a:cxn ang="0">
                <a:pos x="36" y="26"/>
              </a:cxn>
              <a:cxn ang="0">
                <a:pos x="33" y="23"/>
              </a:cxn>
              <a:cxn ang="0">
                <a:pos x="33" y="20"/>
              </a:cxn>
              <a:cxn ang="0">
                <a:pos x="30" y="17"/>
              </a:cxn>
              <a:cxn ang="0">
                <a:pos x="30" y="14"/>
              </a:cxn>
              <a:cxn ang="0">
                <a:pos x="30" y="12"/>
              </a:cxn>
              <a:cxn ang="0">
                <a:pos x="27" y="6"/>
              </a:cxn>
              <a:cxn ang="0">
                <a:pos x="27" y="3"/>
              </a:cxn>
              <a:cxn ang="0">
                <a:pos x="27" y="6"/>
              </a:cxn>
              <a:cxn ang="0">
                <a:pos x="0" y="0"/>
              </a:cxn>
            </a:cxnLst>
            <a:rect l="0" t="0" r="r" b="b"/>
            <a:pathLst>
              <a:path w="36" h="46">
                <a:moveTo>
                  <a:pt x="0" y="0"/>
                </a:moveTo>
                <a:lnTo>
                  <a:pt x="0" y="3"/>
                </a:lnTo>
                <a:lnTo>
                  <a:pt x="0" y="9"/>
                </a:lnTo>
                <a:lnTo>
                  <a:pt x="0" y="14"/>
                </a:lnTo>
                <a:lnTo>
                  <a:pt x="3" y="20"/>
                </a:lnTo>
                <a:lnTo>
                  <a:pt x="3" y="29"/>
                </a:lnTo>
                <a:lnTo>
                  <a:pt x="6" y="32"/>
                </a:lnTo>
                <a:lnTo>
                  <a:pt x="9" y="37"/>
                </a:lnTo>
                <a:lnTo>
                  <a:pt x="12" y="43"/>
                </a:lnTo>
                <a:lnTo>
                  <a:pt x="15" y="46"/>
                </a:lnTo>
                <a:lnTo>
                  <a:pt x="36" y="29"/>
                </a:lnTo>
                <a:lnTo>
                  <a:pt x="36" y="26"/>
                </a:lnTo>
                <a:lnTo>
                  <a:pt x="33" y="23"/>
                </a:lnTo>
                <a:lnTo>
                  <a:pt x="33" y="20"/>
                </a:lnTo>
                <a:lnTo>
                  <a:pt x="30" y="17"/>
                </a:lnTo>
                <a:lnTo>
                  <a:pt x="30" y="14"/>
                </a:lnTo>
                <a:lnTo>
                  <a:pt x="30" y="12"/>
                </a:lnTo>
                <a:lnTo>
                  <a:pt x="27" y="6"/>
                </a:lnTo>
                <a:lnTo>
                  <a:pt x="27" y="3"/>
                </a:lnTo>
                <a:lnTo>
                  <a:pt x="27" y="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/>
        </xdr:nvSpPr>
        <xdr:spPr>
          <a:xfrm>
            <a:off x="9655" y="9955"/>
            <a:ext cx="30" cy="2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5"/>
              </a:cxn>
              <a:cxn ang="0">
                <a:pos x="0" y="8"/>
              </a:cxn>
              <a:cxn ang="0">
                <a:pos x="0" y="8"/>
              </a:cxn>
              <a:cxn ang="0">
                <a:pos x="0" y="11"/>
              </a:cxn>
              <a:cxn ang="0">
                <a:pos x="0" y="14"/>
              </a:cxn>
              <a:cxn ang="0">
                <a:pos x="0" y="17"/>
              </a:cxn>
              <a:cxn ang="0">
                <a:pos x="0" y="17"/>
              </a:cxn>
              <a:cxn ang="0">
                <a:pos x="27" y="20"/>
              </a:cxn>
              <a:cxn ang="0">
                <a:pos x="27" y="17"/>
              </a:cxn>
              <a:cxn ang="0">
                <a:pos x="27" y="14"/>
              </a:cxn>
              <a:cxn ang="0">
                <a:pos x="27" y="11"/>
              </a:cxn>
              <a:cxn ang="0">
                <a:pos x="30" y="8"/>
              </a:cxn>
              <a:cxn ang="0">
                <a:pos x="30" y="8"/>
              </a:cxn>
              <a:cxn ang="0">
                <a:pos x="30" y="5"/>
              </a:cxn>
              <a:cxn ang="0">
                <a:pos x="30" y="3"/>
              </a:cxn>
              <a:cxn ang="0">
                <a:pos x="30" y="3"/>
              </a:cxn>
              <a:cxn ang="0">
                <a:pos x="27" y="5"/>
              </a:cxn>
              <a:cxn ang="0">
                <a:pos x="0" y="0"/>
              </a:cxn>
            </a:cxnLst>
            <a:rect l="0" t="0" r="r" b="b"/>
            <a:pathLst>
              <a:path w="30" h="20">
                <a:moveTo>
                  <a:pt x="0" y="0"/>
                </a:moveTo>
                <a:lnTo>
                  <a:pt x="0" y="3"/>
                </a:lnTo>
                <a:lnTo>
                  <a:pt x="0" y="3"/>
                </a:lnTo>
                <a:lnTo>
                  <a:pt x="0" y="5"/>
                </a:lnTo>
                <a:lnTo>
                  <a:pt x="0" y="8"/>
                </a:lnTo>
                <a:lnTo>
                  <a:pt x="0" y="8"/>
                </a:lnTo>
                <a:lnTo>
                  <a:pt x="0" y="11"/>
                </a:lnTo>
                <a:lnTo>
                  <a:pt x="0" y="14"/>
                </a:lnTo>
                <a:lnTo>
                  <a:pt x="0" y="17"/>
                </a:lnTo>
                <a:lnTo>
                  <a:pt x="0" y="17"/>
                </a:lnTo>
                <a:lnTo>
                  <a:pt x="27" y="20"/>
                </a:lnTo>
                <a:lnTo>
                  <a:pt x="27" y="17"/>
                </a:lnTo>
                <a:lnTo>
                  <a:pt x="27" y="14"/>
                </a:lnTo>
                <a:lnTo>
                  <a:pt x="27" y="11"/>
                </a:lnTo>
                <a:lnTo>
                  <a:pt x="30" y="8"/>
                </a:lnTo>
                <a:lnTo>
                  <a:pt x="30" y="8"/>
                </a:lnTo>
                <a:lnTo>
                  <a:pt x="30" y="5"/>
                </a:lnTo>
                <a:lnTo>
                  <a:pt x="30" y="3"/>
                </a:lnTo>
                <a:lnTo>
                  <a:pt x="30" y="3"/>
                </a:lnTo>
                <a:lnTo>
                  <a:pt x="27" y="5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" name="Freeform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/>
        </xdr:nvSpPr>
        <xdr:spPr>
          <a:xfrm>
            <a:off x="9655" y="9825"/>
            <a:ext cx="47" cy="135"/>
          </a:xfrm>
          <a:custGeom>
            <a:avLst/>
            <a:gdLst/>
            <a:ahLst/>
            <a:cxnLst>
              <a:cxn ang="0">
                <a:pos x="33" y="0"/>
              </a:cxn>
              <a:cxn ang="0">
                <a:pos x="21" y="12"/>
              </a:cxn>
              <a:cxn ang="0">
                <a:pos x="0" y="130"/>
              </a:cxn>
              <a:cxn ang="0">
                <a:pos x="27" y="135"/>
              </a:cxn>
              <a:cxn ang="0">
                <a:pos x="47" y="15"/>
              </a:cxn>
              <a:cxn ang="0">
                <a:pos x="33" y="29"/>
              </a:cxn>
              <a:cxn ang="0">
                <a:pos x="33" y="0"/>
              </a:cxn>
              <a:cxn ang="0">
                <a:pos x="21" y="0"/>
              </a:cxn>
              <a:cxn ang="0">
                <a:pos x="21" y="12"/>
              </a:cxn>
              <a:cxn ang="0">
                <a:pos x="33" y="0"/>
              </a:cxn>
            </a:cxnLst>
            <a:rect l="0" t="0" r="r" b="b"/>
            <a:pathLst>
              <a:path w="47" h="135">
                <a:moveTo>
                  <a:pt x="33" y="0"/>
                </a:moveTo>
                <a:lnTo>
                  <a:pt x="21" y="12"/>
                </a:lnTo>
                <a:lnTo>
                  <a:pt x="0" y="130"/>
                </a:lnTo>
                <a:lnTo>
                  <a:pt x="27" y="135"/>
                </a:lnTo>
                <a:lnTo>
                  <a:pt x="47" y="15"/>
                </a:lnTo>
                <a:lnTo>
                  <a:pt x="33" y="29"/>
                </a:lnTo>
                <a:lnTo>
                  <a:pt x="33" y="0"/>
                </a:lnTo>
                <a:lnTo>
                  <a:pt x="21" y="0"/>
                </a:lnTo>
                <a:lnTo>
                  <a:pt x="21" y="12"/>
                </a:lnTo>
                <a:lnTo>
                  <a:pt x="3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/>
        </xdr:nvSpPr>
        <xdr:spPr>
          <a:xfrm>
            <a:off x="9785" y="9825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9" y="12"/>
              </a:cxn>
              <a:cxn ang="0">
                <a:pos x="0" y="190"/>
              </a:cxn>
              <a:cxn ang="0">
                <a:pos x="26" y="196"/>
              </a:cxn>
              <a:cxn ang="0">
                <a:pos x="56" y="15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9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9" y="12"/>
                </a:lnTo>
                <a:lnTo>
                  <a:pt x="0" y="190"/>
                </a:lnTo>
                <a:lnTo>
                  <a:pt x="26" y="196"/>
                </a:lnTo>
                <a:lnTo>
                  <a:pt x="56" y="15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9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>
            <a:off x="9826" y="9825"/>
            <a:ext cx="59" cy="29"/>
          </a:xfrm>
          <a:custGeom>
            <a:avLst/>
            <a:gdLst/>
            <a:ahLst/>
            <a:cxnLst>
              <a:cxn ang="0">
                <a:pos x="59" y="12"/>
              </a:cxn>
              <a:cxn ang="0">
                <a:pos x="44" y="0"/>
              </a:cxn>
              <a:cxn ang="0">
                <a:pos x="0" y="0"/>
              </a:cxn>
              <a:cxn ang="0">
                <a:pos x="0" y="29"/>
              </a:cxn>
              <a:cxn ang="0">
                <a:pos x="44" y="29"/>
              </a:cxn>
              <a:cxn ang="0">
                <a:pos x="29" y="17"/>
              </a:cxn>
              <a:cxn ang="0">
                <a:pos x="59" y="12"/>
              </a:cxn>
              <a:cxn ang="0">
                <a:pos x="56" y="0"/>
              </a:cxn>
              <a:cxn ang="0">
                <a:pos x="44" y="0"/>
              </a:cxn>
              <a:cxn ang="0">
                <a:pos x="59" y="12"/>
              </a:cxn>
            </a:cxnLst>
            <a:rect l="0" t="0" r="r" b="b"/>
            <a:pathLst>
              <a:path w="59" h="29">
                <a:moveTo>
                  <a:pt x="59" y="12"/>
                </a:moveTo>
                <a:lnTo>
                  <a:pt x="44" y="0"/>
                </a:lnTo>
                <a:lnTo>
                  <a:pt x="0" y="0"/>
                </a:lnTo>
                <a:lnTo>
                  <a:pt x="0" y="29"/>
                </a:lnTo>
                <a:lnTo>
                  <a:pt x="44" y="29"/>
                </a:lnTo>
                <a:lnTo>
                  <a:pt x="29" y="17"/>
                </a:lnTo>
                <a:lnTo>
                  <a:pt x="59" y="12"/>
                </a:lnTo>
                <a:lnTo>
                  <a:pt x="56" y="0"/>
                </a:lnTo>
                <a:lnTo>
                  <a:pt x="44" y="0"/>
                </a:lnTo>
                <a:lnTo>
                  <a:pt x="59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" name="Freeform 45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/>
        </xdr:nvSpPr>
        <xdr:spPr>
          <a:xfrm>
            <a:off x="9858" y="9837"/>
            <a:ext cx="47" cy="198"/>
          </a:xfrm>
          <a:custGeom>
            <a:avLst/>
            <a:gdLst/>
            <a:ahLst/>
            <a:cxnLst>
              <a:cxn ang="0">
                <a:pos x="21" y="109"/>
              </a:cxn>
              <a:cxn ang="0">
                <a:pos x="47" y="106"/>
              </a:cxn>
              <a:cxn ang="0">
                <a:pos x="27" y="0"/>
              </a:cxn>
              <a:cxn ang="0">
                <a:pos x="0" y="5"/>
              </a:cxn>
              <a:cxn ang="0">
                <a:pos x="21" y="112"/>
              </a:cxn>
              <a:cxn ang="0">
                <a:pos x="47" y="112"/>
              </a:cxn>
              <a:cxn ang="0">
                <a:pos x="21" y="112"/>
              </a:cxn>
              <a:cxn ang="0">
                <a:pos x="39" y="198"/>
              </a:cxn>
              <a:cxn ang="0">
                <a:pos x="47" y="112"/>
              </a:cxn>
              <a:cxn ang="0">
                <a:pos x="21" y="109"/>
              </a:cxn>
            </a:cxnLst>
            <a:rect l="0" t="0" r="r" b="b"/>
            <a:pathLst>
              <a:path w="47" h="198">
                <a:moveTo>
                  <a:pt x="21" y="109"/>
                </a:moveTo>
                <a:lnTo>
                  <a:pt x="47" y="106"/>
                </a:lnTo>
                <a:lnTo>
                  <a:pt x="27" y="0"/>
                </a:lnTo>
                <a:lnTo>
                  <a:pt x="0" y="5"/>
                </a:lnTo>
                <a:lnTo>
                  <a:pt x="21" y="112"/>
                </a:lnTo>
                <a:lnTo>
                  <a:pt x="47" y="112"/>
                </a:lnTo>
                <a:lnTo>
                  <a:pt x="21" y="112"/>
                </a:lnTo>
                <a:lnTo>
                  <a:pt x="39" y="198"/>
                </a:lnTo>
                <a:lnTo>
                  <a:pt x="47" y="112"/>
                </a:lnTo>
                <a:lnTo>
                  <a:pt x="21" y="10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" name="Freeform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9879" y="9946"/>
            <a:ext cx="26" cy="89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5" y="0"/>
              </a:cxn>
              <a:cxn ang="0">
                <a:pos x="26" y="3"/>
              </a:cxn>
              <a:cxn ang="0">
                <a:pos x="0" y="3"/>
              </a:cxn>
              <a:cxn ang="0">
                <a:pos x="18" y="89"/>
              </a:cxn>
              <a:cxn ang="0">
                <a:pos x="26" y="3"/>
              </a:cxn>
              <a:cxn ang="0">
                <a:pos x="0" y="0"/>
              </a:cxn>
            </a:cxnLst>
            <a:rect l="0" t="0" r="r" b="b"/>
            <a:pathLst>
              <a:path w="26" h="89">
                <a:moveTo>
                  <a:pt x="0" y="0"/>
                </a:moveTo>
                <a:lnTo>
                  <a:pt x="15" y="0"/>
                </a:lnTo>
                <a:lnTo>
                  <a:pt x="26" y="3"/>
                </a:lnTo>
                <a:lnTo>
                  <a:pt x="0" y="3"/>
                </a:lnTo>
                <a:lnTo>
                  <a:pt x="18" y="89"/>
                </a:lnTo>
                <a:lnTo>
                  <a:pt x="26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/>
        </xdr:nvSpPr>
        <xdr:spPr>
          <a:xfrm>
            <a:off x="9879" y="9909"/>
            <a:ext cx="29" cy="40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5"/>
              </a:cxn>
              <a:cxn ang="0">
                <a:pos x="0" y="8"/>
              </a:cxn>
              <a:cxn ang="0">
                <a:pos x="0" y="14"/>
              </a:cxn>
              <a:cxn ang="0">
                <a:pos x="0" y="17"/>
              </a:cxn>
              <a:cxn ang="0">
                <a:pos x="0" y="23"/>
              </a:cxn>
              <a:cxn ang="0">
                <a:pos x="0" y="26"/>
              </a:cxn>
              <a:cxn ang="0">
                <a:pos x="0" y="31"/>
              </a:cxn>
              <a:cxn ang="0">
                <a:pos x="0" y="37"/>
              </a:cxn>
              <a:cxn ang="0">
                <a:pos x="26" y="40"/>
              </a:cxn>
              <a:cxn ang="0">
                <a:pos x="26" y="31"/>
              </a:cxn>
              <a:cxn ang="0">
                <a:pos x="26" y="26"/>
              </a:cxn>
              <a:cxn ang="0">
                <a:pos x="29" y="23"/>
              </a:cxn>
              <a:cxn ang="0">
                <a:pos x="29" y="17"/>
              </a:cxn>
              <a:cxn ang="0">
                <a:pos x="29" y="14"/>
              </a:cxn>
              <a:cxn ang="0">
                <a:pos x="29" y="8"/>
              </a:cxn>
              <a:cxn ang="0">
                <a:pos x="29" y="5"/>
              </a:cxn>
              <a:cxn ang="0">
                <a:pos x="29" y="3"/>
              </a:cxn>
              <a:cxn ang="0">
                <a:pos x="29" y="0"/>
              </a:cxn>
              <a:cxn ang="0">
                <a:pos x="3" y="0"/>
              </a:cxn>
            </a:cxnLst>
            <a:rect l="0" t="0" r="r" b="b"/>
            <a:pathLst>
              <a:path w="29" h="40">
                <a:moveTo>
                  <a:pt x="3" y="0"/>
                </a:moveTo>
                <a:lnTo>
                  <a:pt x="3" y="0"/>
                </a:lnTo>
                <a:lnTo>
                  <a:pt x="3" y="5"/>
                </a:lnTo>
                <a:lnTo>
                  <a:pt x="0" y="8"/>
                </a:lnTo>
                <a:lnTo>
                  <a:pt x="0" y="14"/>
                </a:lnTo>
                <a:lnTo>
                  <a:pt x="0" y="17"/>
                </a:lnTo>
                <a:lnTo>
                  <a:pt x="0" y="23"/>
                </a:lnTo>
                <a:lnTo>
                  <a:pt x="0" y="26"/>
                </a:lnTo>
                <a:lnTo>
                  <a:pt x="0" y="31"/>
                </a:lnTo>
                <a:lnTo>
                  <a:pt x="0" y="37"/>
                </a:lnTo>
                <a:lnTo>
                  <a:pt x="26" y="40"/>
                </a:lnTo>
                <a:lnTo>
                  <a:pt x="26" y="31"/>
                </a:lnTo>
                <a:lnTo>
                  <a:pt x="26" y="26"/>
                </a:lnTo>
                <a:lnTo>
                  <a:pt x="29" y="23"/>
                </a:lnTo>
                <a:lnTo>
                  <a:pt x="29" y="17"/>
                </a:lnTo>
                <a:lnTo>
                  <a:pt x="29" y="14"/>
                </a:lnTo>
                <a:lnTo>
                  <a:pt x="29" y="8"/>
                </a:lnTo>
                <a:lnTo>
                  <a:pt x="29" y="5"/>
                </a:lnTo>
                <a:lnTo>
                  <a:pt x="29" y="3"/>
                </a:lnTo>
                <a:lnTo>
                  <a:pt x="29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9" name="Freeform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/>
        </xdr:nvSpPr>
        <xdr:spPr>
          <a:xfrm>
            <a:off x="9882" y="9886"/>
            <a:ext cx="26" cy="2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2"/>
              </a:cxn>
              <a:cxn ang="0">
                <a:pos x="0" y="5"/>
              </a:cxn>
              <a:cxn ang="0">
                <a:pos x="0" y="8"/>
              </a:cxn>
              <a:cxn ang="0">
                <a:pos x="0" y="11"/>
              </a:cxn>
              <a:cxn ang="0">
                <a:pos x="0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26" y="23"/>
              </a:cxn>
              <a:cxn ang="0">
                <a:pos x="26" y="20"/>
              </a:cxn>
              <a:cxn ang="0">
                <a:pos x="26" y="17"/>
              </a:cxn>
              <a:cxn ang="0">
                <a:pos x="26" y="14"/>
              </a:cxn>
              <a:cxn ang="0">
                <a:pos x="26" y="11"/>
              </a:cxn>
              <a:cxn ang="0">
                <a:pos x="26" y="8"/>
              </a:cxn>
              <a:cxn ang="0">
                <a:pos x="26" y="5"/>
              </a:cxn>
              <a:cxn ang="0">
                <a:pos x="26" y="2"/>
              </a:cxn>
              <a:cxn ang="0">
                <a:pos x="26" y="0"/>
              </a:cxn>
              <a:cxn ang="0">
                <a:pos x="26" y="2"/>
              </a:cxn>
              <a:cxn ang="0">
                <a:pos x="0" y="0"/>
              </a:cxn>
            </a:cxnLst>
            <a:rect l="0" t="0" r="r" b="b"/>
            <a:pathLst>
              <a:path w="26" h="23">
                <a:moveTo>
                  <a:pt x="0" y="0"/>
                </a:moveTo>
                <a:lnTo>
                  <a:pt x="0" y="0"/>
                </a:lnTo>
                <a:lnTo>
                  <a:pt x="0" y="2"/>
                </a:lnTo>
                <a:lnTo>
                  <a:pt x="0" y="5"/>
                </a:lnTo>
                <a:lnTo>
                  <a:pt x="0" y="8"/>
                </a:lnTo>
                <a:lnTo>
                  <a:pt x="0" y="11"/>
                </a:lnTo>
                <a:lnTo>
                  <a:pt x="0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26" y="23"/>
                </a:lnTo>
                <a:lnTo>
                  <a:pt x="26" y="20"/>
                </a:lnTo>
                <a:lnTo>
                  <a:pt x="26" y="17"/>
                </a:lnTo>
                <a:lnTo>
                  <a:pt x="26" y="14"/>
                </a:lnTo>
                <a:lnTo>
                  <a:pt x="26" y="11"/>
                </a:lnTo>
                <a:lnTo>
                  <a:pt x="26" y="8"/>
                </a:lnTo>
                <a:lnTo>
                  <a:pt x="26" y="5"/>
                </a:lnTo>
                <a:lnTo>
                  <a:pt x="26" y="2"/>
                </a:lnTo>
                <a:lnTo>
                  <a:pt x="26" y="0"/>
                </a:lnTo>
                <a:lnTo>
                  <a:pt x="26" y="2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" name="Freeform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9882" y="9860"/>
            <a:ext cx="32" cy="28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0"/>
              </a:cxn>
              <a:cxn ang="0">
                <a:pos x="6" y="5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17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26" y="28"/>
              </a:cxn>
              <a:cxn ang="0">
                <a:pos x="29" y="28"/>
              </a:cxn>
              <a:cxn ang="0">
                <a:pos x="29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32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5"/>
              </a:cxn>
              <a:cxn ang="0">
                <a:pos x="6" y="3"/>
              </a:cxn>
            </a:cxnLst>
            <a:rect l="0" t="0" r="r" b="b"/>
            <a:pathLst>
              <a:path w="32" h="28">
                <a:moveTo>
                  <a:pt x="6" y="3"/>
                </a:moveTo>
                <a:lnTo>
                  <a:pt x="6" y="0"/>
                </a:lnTo>
                <a:lnTo>
                  <a:pt x="6" y="5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17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26" y="28"/>
                </a:lnTo>
                <a:lnTo>
                  <a:pt x="29" y="28"/>
                </a:lnTo>
                <a:lnTo>
                  <a:pt x="29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32" y="14"/>
                </a:lnTo>
                <a:lnTo>
                  <a:pt x="32" y="11"/>
                </a:lnTo>
                <a:lnTo>
                  <a:pt x="32" y="8"/>
                </a:lnTo>
                <a:lnTo>
                  <a:pt x="32" y="5"/>
                </a:lnTo>
                <a:lnTo>
                  <a:pt x="6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/>
        </xdr:nvSpPr>
        <xdr:spPr>
          <a:xfrm>
            <a:off x="9888" y="9825"/>
            <a:ext cx="29" cy="40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3" y="15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3" y="23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26" y="40"/>
              </a:cxn>
              <a:cxn ang="0">
                <a:pos x="26" y="38"/>
              </a:cxn>
              <a:cxn ang="0">
                <a:pos x="29" y="35"/>
              </a:cxn>
              <a:cxn ang="0">
                <a:pos x="29" y="32"/>
              </a:cxn>
              <a:cxn ang="0">
                <a:pos x="29" y="29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5"/>
              </a:cxn>
              <a:cxn ang="0">
                <a:pos x="15" y="29"/>
              </a:cxn>
              <a:cxn ang="0">
                <a:pos x="15" y="0"/>
              </a:cxn>
              <a:cxn ang="0">
                <a:pos x="3" y="0"/>
              </a:cxn>
              <a:cxn ang="0">
                <a:pos x="3" y="15"/>
              </a:cxn>
              <a:cxn ang="0">
                <a:pos x="15" y="0"/>
              </a:cxn>
            </a:cxnLst>
            <a:rect l="0" t="0" r="r" b="b"/>
            <a:pathLst>
              <a:path w="29" h="40">
                <a:moveTo>
                  <a:pt x="15" y="0"/>
                </a:moveTo>
                <a:lnTo>
                  <a:pt x="3" y="15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3" y="23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26" y="40"/>
                </a:lnTo>
                <a:lnTo>
                  <a:pt x="26" y="38"/>
                </a:lnTo>
                <a:lnTo>
                  <a:pt x="29" y="35"/>
                </a:lnTo>
                <a:lnTo>
                  <a:pt x="29" y="32"/>
                </a:lnTo>
                <a:lnTo>
                  <a:pt x="29" y="29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5"/>
                </a:lnTo>
                <a:lnTo>
                  <a:pt x="15" y="29"/>
                </a:lnTo>
                <a:lnTo>
                  <a:pt x="15" y="0"/>
                </a:lnTo>
                <a:lnTo>
                  <a:pt x="3" y="0"/>
                </a:lnTo>
                <a:lnTo>
                  <a:pt x="3" y="15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" name="Freeform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/>
        </xdr:nvSpPr>
        <xdr:spPr>
          <a:xfrm>
            <a:off x="9903" y="9825"/>
            <a:ext cx="61" cy="29"/>
          </a:xfrm>
          <a:custGeom>
            <a:avLst/>
            <a:gdLst/>
            <a:ahLst/>
            <a:cxnLst>
              <a:cxn ang="0">
                <a:pos x="61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61" y="15"/>
              </a:cxn>
              <a:cxn ang="0">
                <a:pos x="61" y="0"/>
              </a:cxn>
              <a:cxn ang="0">
                <a:pos x="47" y="0"/>
              </a:cxn>
              <a:cxn ang="0">
                <a:pos x="61" y="15"/>
              </a:cxn>
            </a:cxnLst>
            <a:rect l="0" t="0" r="r" b="b"/>
            <a:pathLst>
              <a:path w="61" h="29">
                <a:moveTo>
                  <a:pt x="61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61" y="15"/>
                </a:lnTo>
                <a:lnTo>
                  <a:pt x="61" y="0"/>
                </a:lnTo>
                <a:lnTo>
                  <a:pt x="47" y="0"/>
                </a:lnTo>
                <a:lnTo>
                  <a:pt x="61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" name="Freeform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9908" y="9837"/>
            <a:ext cx="56" cy="195"/>
          </a:xfrm>
          <a:custGeom>
            <a:avLst/>
            <a:gdLst/>
            <a:ahLst/>
            <a:cxnLst>
              <a:cxn ang="0">
                <a:pos x="12" y="195"/>
              </a:cxn>
              <a:cxn ang="0">
                <a:pos x="27" y="184"/>
              </a:cxn>
              <a:cxn ang="0">
                <a:pos x="56" y="5"/>
              </a:cxn>
              <a:cxn ang="0">
                <a:pos x="27" y="0"/>
              </a:cxn>
              <a:cxn ang="0">
                <a:pos x="0" y="178"/>
              </a:cxn>
              <a:cxn ang="0">
                <a:pos x="12" y="167"/>
              </a:cxn>
              <a:cxn ang="0">
                <a:pos x="12" y="195"/>
              </a:cxn>
              <a:cxn ang="0">
                <a:pos x="24" y="195"/>
              </a:cxn>
              <a:cxn ang="0">
                <a:pos x="27" y="184"/>
              </a:cxn>
              <a:cxn ang="0">
                <a:pos x="12" y="195"/>
              </a:cxn>
            </a:cxnLst>
            <a:rect l="0" t="0" r="r" b="b"/>
            <a:pathLst>
              <a:path w="56" h="195">
                <a:moveTo>
                  <a:pt x="12" y="195"/>
                </a:moveTo>
                <a:lnTo>
                  <a:pt x="27" y="184"/>
                </a:lnTo>
                <a:lnTo>
                  <a:pt x="56" y="5"/>
                </a:lnTo>
                <a:lnTo>
                  <a:pt x="27" y="0"/>
                </a:lnTo>
                <a:lnTo>
                  <a:pt x="0" y="178"/>
                </a:lnTo>
                <a:lnTo>
                  <a:pt x="12" y="167"/>
                </a:lnTo>
                <a:lnTo>
                  <a:pt x="12" y="195"/>
                </a:lnTo>
                <a:lnTo>
                  <a:pt x="24" y="195"/>
                </a:lnTo>
                <a:lnTo>
                  <a:pt x="27" y="184"/>
                </a:lnTo>
                <a:lnTo>
                  <a:pt x="12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" name="Freeform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/>
        </xdr:nvSpPr>
        <xdr:spPr>
          <a:xfrm>
            <a:off x="9861" y="10004"/>
            <a:ext cx="59" cy="2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5" y="28"/>
              </a:cxn>
              <a:cxn ang="0">
                <a:pos x="59" y="28"/>
              </a:cxn>
              <a:cxn ang="0">
                <a:pos x="59" y="0"/>
              </a:cxn>
              <a:cxn ang="0">
                <a:pos x="15" y="0"/>
              </a:cxn>
              <a:cxn ang="0">
                <a:pos x="30" y="11"/>
              </a:cxn>
              <a:cxn ang="0">
                <a:pos x="0" y="17"/>
              </a:cxn>
              <a:cxn ang="0">
                <a:pos x="3" y="28"/>
              </a:cxn>
              <a:cxn ang="0">
                <a:pos x="15" y="28"/>
              </a:cxn>
              <a:cxn ang="0">
                <a:pos x="0" y="17"/>
              </a:cxn>
            </a:cxnLst>
            <a:rect l="0" t="0" r="r" b="b"/>
            <a:pathLst>
              <a:path w="59" h="28">
                <a:moveTo>
                  <a:pt x="0" y="17"/>
                </a:moveTo>
                <a:lnTo>
                  <a:pt x="15" y="28"/>
                </a:lnTo>
                <a:lnTo>
                  <a:pt x="59" y="28"/>
                </a:lnTo>
                <a:lnTo>
                  <a:pt x="59" y="0"/>
                </a:lnTo>
                <a:lnTo>
                  <a:pt x="15" y="0"/>
                </a:lnTo>
                <a:lnTo>
                  <a:pt x="30" y="11"/>
                </a:lnTo>
                <a:lnTo>
                  <a:pt x="0" y="17"/>
                </a:lnTo>
                <a:lnTo>
                  <a:pt x="3" y="28"/>
                </a:lnTo>
                <a:lnTo>
                  <a:pt x="15" y="28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" name="Freeform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/>
        </xdr:nvSpPr>
        <xdr:spPr>
          <a:xfrm>
            <a:off x="9844" y="9828"/>
            <a:ext cx="47" cy="193"/>
          </a:xfrm>
          <a:custGeom>
            <a:avLst/>
            <a:gdLst/>
            <a:ahLst/>
            <a:cxnLst>
              <a:cxn ang="0">
                <a:pos x="26" y="89"/>
              </a:cxn>
              <a:cxn ang="0">
                <a:pos x="0" y="89"/>
              </a:cxn>
              <a:cxn ang="0">
                <a:pos x="17" y="193"/>
              </a:cxn>
              <a:cxn ang="0">
                <a:pos x="47" y="187"/>
              </a:cxn>
              <a:cxn ang="0">
                <a:pos x="26" y="84"/>
              </a:cxn>
              <a:cxn ang="0">
                <a:pos x="0" y="86"/>
              </a:cxn>
              <a:cxn ang="0">
                <a:pos x="26" y="84"/>
              </a:cxn>
              <a:cxn ang="0">
                <a:pos x="9" y="0"/>
              </a:cxn>
              <a:cxn ang="0">
                <a:pos x="0" y="86"/>
              </a:cxn>
              <a:cxn ang="0">
                <a:pos x="26" y="89"/>
              </a:cxn>
            </a:cxnLst>
            <a:rect l="0" t="0" r="r" b="b"/>
            <a:pathLst>
              <a:path w="47" h="193">
                <a:moveTo>
                  <a:pt x="26" y="89"/>
                </a:moveTo>
                <a:lnTo>
                  <a:pt x="0" y="89"/>
                </a:lnTo>
                <a:lnTo>
                  <a:pt x="17" y="193"/>
                </a:lnTo>
                <a:lnTo>
                  <a:pt x="47" y="187"/>
                </a:lnTo>
                <a:lnTo>
                  <a:pt x="26" y="84"/>
                </a:lnTo>
                <a:lnTo>
                  <a:pt x="0" y="86"/>
                </a:lnTo>
                <a:lnTo>
                  <a:pt x="26" y="84"/>
                </a:lnTo>
                <a:lnTo>
                  <a:pt x="9" y="0"/>
                </a:lnTo>
                <a:lnTo>
                  <a:pt x="0" y="86"/>
                </a:lnTo>
                <a:lnTo>
                  <a:pt x="26" y="8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" name="Freeform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9844" y="9828"/>
            <a:ext cx="26" cy="86"/>
          </a:xfrm>
          <a:custGeom>
            <a:avLst/>
            <a:gdLst/>
            <a:ahLst/>
            <a:cxnLst>
              <a:cxn ang="0">
                <a:pos x="26" y="86"/>
              </a:cxn>
              <a:cxn ang="0">
                <a:pos x="11" y="86"/>
              </a:cxn>
              <a:cxn ang="0">
                <a:pos x="0" y="86"/>
              </a:cxn>
              <a:cxn ang="0">
                <a:pos x="26" y="84"/>
              </a:cxn>
              <a:cxn ang="0">
                <a:pos x="9" y="0"/>
              </a:cxn>
              <a:cxn ang="0">
                <a:pos x="0" y="86"/>
              </a:cxn>
              <a:cxn ang="0">
                <a:pos x="26" y="86"/>
              </a:cxn>
            </a:cxnLst>
            <a:rect l="0" t="0" r="r" b="b"/>
            <a:pathLst>
              <a:path w="26" h="86">
                <a:moveTo>
                  <a:pt x="26" y="86"/>
                </a:moveTo>
                <a:lnTo>
                  <a:pt x="11" y="86"/>
                </a:lnTo>
                <a:lnTo>
                  <a:pt x="0" y="86"/>
                </a:lnTo>
                <a:lnTo>
                  <a:pt x="26" y="84"/>
                </a:lnTo>
                <a:lnTo>
                  <a:pt x="9" y="0"/>
                </a:lnTo>
                <a:lnTo>
                  <a:pt x="0" y="86"/>
                </a:lnTo>
                <a:lnTo>
                  <a:pt x="26" y="8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" name="Freeform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/>
        </xdr:nvSpPr>
        <xdr:spPr>
          <a:xfrm>
            <a:off x="9841" y="9914"/>
            <a:ext cx="29" cy="35"/>
          </a:xfrm>
          <a:custGeom>
            <a:avLst/>
            <a:gdLst/>
            <a:ahLst/>
            <a:cxnLst>
              <a:cxn ang="0">
                <a:pos x="26" y="35"/>
              </a:cxn>
              <a:cxn ang="0">
                <a:pos x="26" y="32"/>
              </a:cxn>
              <a:cxn ang="0">
                <a:pos x="26" y="29"/>
              </a:cxn>
              <a:cxn ang="0">
                <a:pos x="26" y="26"/>
              </a:cxn>
              <a:cxn ang="0">
                <a:pos x="26" y="21"/>
              </a:cxn>
              <a:cxn ang="0">
                <a:pos x="26" y="21"/>
              </a:cxn>
              <a:cxn ang="0">
                <a:pos x="29" y="15"/>
              </a:cxn>
              <a:cxn ang="0">
                <a:pos x="29" y="12"/>
              </a:cxn>
              <a:cxn ang="0">
                <a:pos x="29" y="6"/>
              </a:cxn>
              <a:cxn ang="0">
                <a:pos x="29" y="0"/>
              </a:cxn>
              <a:cxn ang="0">
                <a:pos x="3" y="0"/>
              </a:cxn>
              <a:cxn ang="0">
                <a:pos x="3" y="3"/>
              </a:cxn>
              <a:cxn ang="0">
                <a:pos x="3" y="9"/>
              </a:cxn>
              <a:cxn ang="0">
                <a:pos x="0" y="15"/>
              </a:cxn>
              <a:cxn ang="0">
                <a:pos x="0" y="15"/>
              </a:cxn>
              <a:cxn ang="0">
                <a:pos x="0" y="21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29"/>
              </a:cxn>
              <a:cxn ang="0">
                <a:pos x="26" y="35"/>
              </a:cxn>
            </a:cxnLst>
            <a:rect l="0" t="0" r="r" b="b"/>
            <a:pathLst>
              <a:path w="29" h="35">
                <a:moveTo>
                  <a:pt x="26" y="35"/>
                </a:moveTo>
                <a:lnTo>
                  <a:pt x="26" y="32"/>
                </a:lnTo>
                <a:lnTo>
                  <a:pt x="26" y="29"/>
                </a:lnTo>
                <a:lnTo>
                  <a:pt x="26" y="26"/>
                </a:lnTo>
                <a:lnTo>
                  <a:pt x="26" y="21"/>
                </a:lnTo>
                <a:lnTo>
                  <a:pt x="26" y="21"/>
                </a:lnTo>
                <a:lnTo>
                  <a:pt x="29" y="15"/>
                </a:lnTo>
                <a:lnTo>
                  <a:pt x="29" y="12"/>
                </a:lnTo>
                <a:lnTo>
                  <a:pt x="29" y="6"/>
                </a:lnTo>
                <a:lnTo>
                  <a:pt x="29" y="0"/>
                </a:lnTo>
                <a:lnTo>
                  <a:pt x="3" y="0"/>
                </a:lnTo>
                <a:lnTo>
                  <a:pt x="3" y="3"/>
                </a:lnTo>
                <a:lnTo>
                  <a:pt x="3" y="9"/>
                </a:lnTo>
                <a:lnTo>
                  <a:pt x="0" y="15"/>
                </a:lnTo>
                <a:lnTo>
                  <a:pt x="0" y="15"/>
                </a:lnTo>
                <a:lnTo>
                  <a:pt x="0" y="21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29"/>
                </a:lnTo>
                <a:lnTo>
                  <a:pt x="26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" name="Freeform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/>
        </xdr:nvSpPr>
        <xdr:spPr>
          <a:xfrm>
            <a:off x="9838" y="9943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6"/>
              </a:cxn>
              <a:cxn ang="0">
                <a:pos x="3" y="0"/>
              </a:cxn>
              <a:cxn ang="0">
                <a:pos x="3" y="6"/>
              </a:cxn>
              <a:cxn ang="0">
                <a:pos x="3" y="9"/>
              </a:cxn>
              <a:cxn ang="0">
                <a:pos x="3" y="12"/>
              </a:cxn>
              <a:cxn ang="0">
                <a:pos x="0" y="15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0" y="23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6"/>
                </a:lnTo>
                <a:lnTo>
                  <a:pt x="3" y="0"/>
                </a:lnTo>
                <a:lnTo>
                  <a:pt x="3" y="6"/>
                </a:lnTo>
                <a:lnTo>
                  <a:pt x="3" y="9"/>
                </a:lnTo>
                <a:lnTo>
                  <a:pt x="3" y="12"/>
                </a:lnTo>
                <a:lnTo>
                  <a:pt x="0" y="15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0" y="23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9" name="Freeform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/>
        </xdr:nvSpPr>
        <xdr:spPr>
          <a:xfrm>
            <a:off x="9835" y="9963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9"/>
              </a:cxn>
              <a:cxn ang="0">
                <a:pos x="26" y="26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9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3" y="9"/>
              </a:cxn>
              <a:cxn ang="0">
                <a:pos x="3" y="12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6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9"/>
                </a:lnTo>
                <a:lnTo>
                  <a:pt x="26" y="26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9"/>
                </a:ln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3" y="9"/>
                </a:lnTo>
                <a:lnTo>
                  <a:pt x="3" y="12"/>
                </a:ln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6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0" name="Freeform 5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/>
        </xdr:nvSpPr>
        <xdr:spPr>
          <a:xfrm>
            <a:off x="9832" y="9989"/>
            <a:ext cx="29" cy="43"/>
          </a:xfrm>
          <a:custGeom>
            <a:avLst/>
            <a:gdLst/>
            <a:ahLst/>
            <a:cxnLst>
              <a:cxn ang="0">
                <a:pos x="12" y="43"/>
              </a:cxn>
              <a:cxn ang="0">
                <a:pos x="26" y="32"/>
              </a:cxn>
              <a:cxn ang="0">
                <a:pos x="26" y="29"/>
              </a:cxn>
              <a:cxn ang="0">
                <a:pos x="26" y="26"/>
              </a:cxn>
              <a:cxn ang="0">
                <a:pos x="26" y="20"/>
              </a:cxn>
              <a:cxn ang="0">
                <a:pos x="29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3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0" y="9"/>
              </a:cxn>
              <a:cxn ang="0">
                <a:pos x="0" y="12"/>
              </a:cxn>
              <a:cxn ang="0">
                <a:pos x="0" y="18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12" y="15"/>
              </a:cxn>
              <a:cxn ang="0">
                <a:pos x="12" y="43"/>
              </a:cxn>
              <a:cxn ang="0">
                <a:pos x="23" y="43"/>
              </a:cxn>
              <a:cxn ang="0">
                <a:pos x="26" y="32"/>
              </a:cxn>
              <a:cxn ang="0">
                <a:pos x="12" y="43"/>
              </a:cxn>
            </a:cxnLst>
            <a:rect l="0" t="0" r="r" b="b"/>
            <a:pathLst>
              <a:path w="29" h="43">
                <a:moveTo>
                  <a:pt x="12" y="43"/>
                </a:moveTo>
                <a:lnTo>
                  <a:pt x="26" y="32"/>
                </a:lnTo>
                <a:lnTo>
                  <a:pt x="26" y="29"/>
                </a:lnTo>
                <a:lnTo>
                  <a:pt x="26" y="26"/>
                </a:lnTo>
                <a:lnTo>
                  <a:pt x="26" y="20"/>
                </a:lnTo>
                <a:lnTo>
                  <a:pt x="29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3"/>
                </a:ln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0" y="9"/>
                </a:lnTo>
                <a:lnTo>
                  <a:pt x="0" y="12"/>
                </a:lnTo>
                <a:lnTo>
                  <a:pt x="0" y="18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12" y="15"/>
                </a:lnTo>
                <a:lnTo>
                  <a:pt x="12" y="43"/>
                </a:lnTo>
                <a:lnTo>
                  <a:pt x="23" y="43"/>
                </a:lnTo>
                <a:lnTo>
                  <a:pt x="26" y="32"/>
                </a:lnTo>
                <a:lnTo>
                  <a:pt x="12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/>
        </xdr:nvSpPr>
        <xdr:spPr>
          <a:xfrm>
            <a:off x="9782" y="10004"/>
            <a:ext cx="62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8"/>
              </a:cxn>
              <a:cxn ang="0">
                <a:pos x="62" y="28"/>
              </a:cxn>
              <a:cxn ang="0">
                <a:pos x="62" y="0"/>
              </a:cxn>
              <a:cxn ang="0">
                <a:pos x="18" y="0"/>
              </a:cxn>
              <a:cxn ang="0">
                <a:pos x="29" y="17"/>
              </a:cxn>
              <a:cxn ang="0">
                <a:pos x="3" y="11"/>
              </a:cxn>
              <a:cxn ang="0">
                <a:pos x="0" y="28"/>
              </a:cxn>
              <a:cxn ang="0">
                <a:pos x="18" y="28"/>
              </a:cxn>
              <a:cxn ang="0">
                <a:pos x="3" y="11"/>
              </a:cxn>
            </a:cxnLst>
            <a:rect l="0" t="0" r="r" b="b"/>
            <a:pathLst>
              <a:path w="62" h="28">
                <a:moveTo>
                  <a:pt x="3" y="11"/>
                </a:moveTo>
                <a:lnTo>
                  <a:pt x="18" y="28"/>
                </a:lnTo>
                <a:lnTo>
                  <a:pt x="62" y="28"/>
                </a:lnTo>
                <a:lnTo>
                  <a:pt x="62" y="0"/>
                </a:lnTo>
                <a:lnTo>
                  <a:pt x="18" y="0"/>
                </a:lnTo>
                <a:lnTo>
                  <a:pt x="29" y="17"/>
                </a:lnTo>
                <a:lnTo>
                  <a:pt x="3" y="11"/>
                </a:lnTo>
                <a:lnTo>
                  <a:pt x="0" y="28"/>
                </a:lnTo>
                <a:lnTo>
                  <a:pt x="18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/>
        </xdr:nvSpPr>
        <xdr:spPr>
          <a:xfrm>
            <a:off x="9929" y="9825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5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5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3" name="Freeform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/>
        </xdr:nvSpPr>
        <xdr:spPr>
          <a:xfrm>
            <a:off x="9970" y="9825"/>
            <a:ext cx="62" cy="29"/>
          </a:xfrm>
          <a:custGeom>
            <a:avLst/>
            <a:gdLst/>
            <a:ahLst/>
            <a:cxnLst>
              <a:cxn ang="0">
                <a:pos x="59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3" y="12"/>
              </a:cxn>
              <a:cxn ang="0">
                <a:pos x="59" y="15"/>
              </a:cxn>
              <a:cxn ang="0">
                <a:pos x="62" y="0"/>
              </a:cxn>
              <a:cxn ang="0">
                <a:pos x="47" y="0"/>
              </a:cxn>
              <a:cxn ang="0">
                <a:pos x="59" y="15"/>
              </a:cxn>
            </a:cxnLst>
            <a:rect l="0" t="0" r="r" b="b"/>
            <a:pathLst>
              <a:path w="62" h="29">
                <a:moveTo>
                  <a:pt x="59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3" y="12"/>
                </a:lnTo>
                <a:lnTo>
                  <a:pt x="59" y="15"/>
                </a:lnTo>
                <a:lnTo>
                  <a:pt x="62" y="0"/>
                </a:lnTo>
                <a:lnTo>
                  <a:pt x="47" y="0"/>
                </a:lnTo>
                <a:lnTo>
                  <a:pt x="59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4" name="Freeform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/>
        </xdr:nvSpPr>
        <xdr:spPr>
          <a:xfrm>
            <a:off x="9976" y="9837"/>
            <a:ext cx="53" cy="195"/>
          </a:xfrm>
          <a:custGeom>
            <a:avLst/>
            <a:gdLst/>
            <a:ahLst/>
            <a:cxnLst>
              <a:cxn ang="0">
                <a:pos x="12" y="195"/>
              </a:cxn>
              <a:cxn ang="0">
                <a:pos x="27" y="184"/>
              </a:cxn>
              <a:cxn ang="0">
                <a:pos x="53" y="5"/>
              </a:cxn>
              <a:cxn ang="0">
                <a:pos x="27" y="0"/>
              </a:cxn>
              <a:cxn ang="0">
                <a:pos x="0" y="178"/>
              </a:cxn>
              <a:cxn ang="0">
                <a:pos x="12" y="167"/>
              </a:cxn>
              <a:cxn ang="0">
                <a:pos x="12" y="195"/>
              </a:cxn>
              <a:cxn ang="0">
                <a:pos x="24" y="195"/>
              </a:cxn>
              <a:cxn ang="0">
                <a:pos x="27" y="184"/>
              </a:cxn>
              <a:cxn ang="0">
                <a:pos x="12" y="195"/>
              </a:cxn>
            </a:cxnLst>
            <a:rect l="0" t="0" r="r" b="b"/>
            <a:pathLst>
              <a:path w="53" h="195">
                <a:moveTo>
                  <a:pt x="12" y="195"/>
                </a:moveTo>
                <a:lnTo>
                  <a:pt x="27" y="184"/>
                </a:lnTo>
                <a:lnTo>
                  <a:pt x="53" y="5"/>
                </a:lnTo>
                <a:lnTo>
                  <a:pt x="27" y="0"/>
                </a:lnTo>
                <a:lnTo>
                  <a:pt x="0" y="178"/>
                </a:lnTo>
                <a:lnTo>
                  <a:pt x="12" y="167"/>
                </a:lnTo>
                <a:lnTo>
                  <a:pt x="12" y="195"/>
                </a:lnTo>
                <a:lnTo>
                  <a:pt x="24" y="195"/>
                </a:lnTo>
                <a:lnTo>
                  <a:pt x="27" y="184"/>
                </a:lnTo>
                <a:lnTo>
                  <a:pt x="12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5" name="Freeform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9926" y="10004"/>
            <a:ext cx="62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29" y="17"/>
              </a:cxn>
              <a:cxn ang="0">
                <a:pos x="3" y="11"/>
              </a:cxn>
              <a:cxn ang="0">
                <a:pos x="0" y="28"/>
              </a:cxn>
              <a:cxn ang="0">
                <a:pos x="15" y="28"/>
              </a:cxn>
              <a:cxn ang="0">
                <a:pos x="3" y="11"/>
              </a:cxn>
            </a:cxnLst>
            <a:rect l="0" t="0" r="r" b="b"/>
            <a:pathLst>
              <a:path w="62" h="28">
                <a:moveTo>
                  <a:pt x="3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29" y="17"/>
                </a:lnTo>
                <a:lnTo>
                  <a:pt x="3" y="11"/>
                </a:lnTo>
                <a:lnTo>
                  <a:pt x="0" y="28"/>
                </a:lnTo>
                <a:lnTo>
                  <a:pt x="15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6" name="Freeform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/>
        </xdr:nvSpPr>
        <xdr:spPr>
          <a:xfrm>
            <a:off x="10008" y="9825"/>
            <a:ext cx="42" cy="193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0" y="15"/>
              </a:cxn>
              <a:cxn ang="0">
                <a:pos x="12" y="193"/>
              </a:cxn>
              <a:cxn ang="0">
                <a:pos x="42" y="193"/>
              </a:cxn>
              <a:cxn ang="0">
                <a:pos x="30" y="12"/>
              </a:cxn>
              <a:cxn ang="0">
                <a:pos x="15" y="29"/>
              </a:cxn>
              <a:cxn ang="0">
                <a:pos x="15" y="0"/>
              </a:cxn>
              <a:cxn ang="0">
                <a:pos x="0" y="0"/>
              </a:cxn>
              <a:cxn ang="0">
                <a:pos x="0" y="15"/>
              </a:cxn>
              <a:cxn ang="0">
                <a:pos x="15" y="0"/>
              </a:cxn>
            </a:cxnLst>
            <a:rect l="0" t="0" r="r" b="b"/>
            <a:pathLst>
              <a:path w="42" h="193">
                <a:moveTo>
                  <a:pt x="15" y="0"/>
                </a:moveTo>
                <a:lnTo>
                  <a:pt x="0" y="15"/>
                </a:lnTo>
                <a:lnTo>
                  <a:pt x="12" y="193"/>
                </a:lnTo>
                <a:lnTo>
                  <a:pt x="42" y="193"/>
                </a:lnTo>
                <a:lnTo>
                  <a:pt x="30" y="12"/>
                </a:lnTo>
                <a:lnTo>
                  <a:pt x="15" y="29"/>
                </a:lnTo>
                <a:lnTo>
                  <a:pt x="15" y="0"/>
                </a:lnTo>
                <a:lnTo>
                  <a:pt x="0" y="0"/>
                </a:lnTo>
                <a:lnTo>
                  <a:pt x="0" y="15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7" name="Freeform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/>
        </xdr:nvSpPr>
        <xdr:spPr>
          <a:xfrm>
            <a:off x="10023" y="9825"/>
            <a:ext cx="62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35" y="15"/>
              </a:cxn>
              <a:cxn ang="0">
                <a:pos x="62" y="15"/>
              </a:cxn>
              <a:cxn ang="0">
                <a:pos x="62" y="0"/>
              </a:cxn>
              <a:cxn ang="0">
                <a:pos x="50" y="0"/>
              </a:cxn>
              <a:cxn ang="0">
                <a:pos x="62" y="15"/>
              </a:cxn>
            </a:cxnLst>
            <a:rect l="0" t="0" r="r" b="b"/>
            <a:pathLst>
              <a:path w="62" h="29">
                <a:moveTo>
                  <a:pt x="62" y="15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35" y="15"/>
                </a:lnTo>
                <a:lnTo>
                  <a:pt x="62" y="15"/>
                </a:lnTo>
                <a:lnTo>
                  <a:pt x="62" y="0"/>
                </a:lnTo>
                <a:lnTo>
                  <a:pt x="50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8" name="Freeform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/>
        </xdr:nvSpPr>
        <xdr:spPr>
          <a:xfrm>
            <a:off x="10056" y="9840"/>
            <a:ext cx="29" cy="23"/>
          </a:xfrm>
          <a:custGeom>
            <a:avLst/>
            <a:gdLst/>
            <a:ahLst/>
            <a:cxnLst>
              <a:cxn ang="0">
                <a:pos x="29" y="20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29" y="11"/>
              </a:cxn>
              <a:cxn ang="0">
                <a:pos x="29" y="8"/>
              </a:cxn>
              <a:cxn ang="0">
                <a:pos x="29" y="5"/>
              </a:cxn>
              <a:cxn ang="0">
                <a:pos x="29" y="2"/>
              </a:cxn>
              <a:cxn ang="0">
                <a:pos x="29" y="0"/>
              </a:cxn>
              <a:cxn ang="0">
                <a:pos x="2" y="0"/>
              </a:cxn>
              <a:cxn ang="0">
                <a:pos x="2" y="2"/>
              </a:cxn>
              <a:cxn ang="0">
                <a:pos x="2" y="5"/>
              </a:cxn>
              <a:cxn ang="0">
                <a:pos x="2" y="8"/>
              </a:cxn>
              <a:cxn ang="0">
                <a:pos x="2" y="11"/>
              </a:cxn>
              <a:cxn ang="0">
                <a:pos x="2" y="14"/>
              </a:cxn>
              <a:cxn ang="0">
                <a:pos x="2" y="17"/>
              </a:cxn>
              <a:cxn ang="0">
                <a:pos x="2" y="20"/>
              </a:cxn>
              <a:cxn ang="0">
                <a:pos x="2" y="17"/>
              </a:cxn>
              <a:cxn ang="0">
                <a:pos x="0" y="20"/>
              </a:cxn>
              <a:cxn ang="0">
                <a:pos x="29" y="20"/>
              </a:cxn>
            </a:cxnLst>
            <a:rect l="0" t="0" r="r" b="b"/>
            <a:pathLst>
              <a:path w="29" h="23">
                <a:moveTo>
                  <a:pt x="29" y="20"/>
                </a:move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29" y="11"/>
                </a:lnTo>
                <a:lnTo>
                  <a:pt x="29" y="8"/>
                </a:lnTo>
                <a:lnTo>
                  <a:pt x="29" y="5"/>
                </a:lnTo>
                <a:lnTo>
                  <a:pt x="29" y="2"/>
                </a:lnTo>
                <a:lnTo>
                  <a:pt x="29" y="0"/>
                </a:lnTo>
                <a:lnTo>
                  <a:pt x="2" y="0"/>
                </a:lnTo>
                <a:lnTo>
                  <a:pt x="2" y="2"/>
                </a:lnTo>
                <a:lnTo>
                  <a:pt x="2" y="5"/>
                </a:lnTo>
                <a:lnTo>
                  <a:pt x="2" y="8"/>
                </a:lnTo>
                <a:lnTo>
                  <a:pt x="2" y="11"/>
                </a:lnTo>
                <a:lnTo>
                  <a:pt x="2" y="14"/>
                </a:lnTo>
                <a:lnTo>
                  <a:pt x="2" y="17"/>
                </a:lnTo>
                <a:lnTo>
                  <a:pt x="2" y="20"/>
                </a:lnTo>
                <a:lnTo>
                  <a:pt x="2" y="17"/>
                </a:lnTo>
                <a:lnTo>
                  <a:pt x="0" y="20"/>
                </a:lnTo>
                <a:lnTo>
                  <a:pt x="29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9" name="Freeform 6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/>
        </xdr:nvSpPr>
        <xdr:spPr>
          <a:xfrm>
            <a:off x="10056" y="9860"/>
            <a:ext cx="29" cy="31"/>
          </a:xfrm>
          <a:custGeom>
            <a:avLst/>
            <a:gdLst/>
            <a:ahLst/>
            <a:cxnLst>
              <a:cxn ang="0">
                <a:pos x="29" y="31"/>
              </a:cxn>
              <a:cxn ang="0">
                <a:pos x="29" y="31"/>
              </a:cxn>
              <a:cxn ang="0">
                <a:pos x="29" y="0"/>
              </a:cxn>
              <a:cxn ang="0">
                <a:pos x="0" y="0"/>
              </a:cxn>
              <a:cxn ang="0">
                <a:pos x="0" y="31"/>
              </a:cxn>
              <a:cxn ang="0">
                <a:pos x="29" y="31"/>
              </a:cxn>
            </a:cxnLst>
            <a:rect l="0" t="0" r="r" b="b"/>
            <a:pathLst>
              <a:path w="29" h="31">
                <a:moveTo>
                  <a:pt x="29" y="31"/>
                </a:moveTo>
                <a:lnTo>
                  <a:pt x="29" y="31"/>
                </a:lnTo>
                <a:lnTo>
                  <a:pt x="29" y="0"/>
                </a:lnTo>
                <a:lnTo>
                  <a:pt x="0" y="0"/>
                </a:lnTo>
                <a:lnTo>
                  <a:pt x="0" y="31"/>
                </a:lnTo>
                <a:lnTo>
                  <a:pt x="29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0" name="Freeform 6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/>
        </xdr:nvSpPr>
        <xdr:spPr>
          <a:xfrm>
            <a:off x="10056" y="9891"/>
            <a:ext cx="29" cy="78"/>
          </a:xfrm>
          <a:custGeom>
            <a:avLst/>
            <a:gdLst/>
            <a:ahLst/>
            <a:cxnLst>
              <a:cxn ang="0">
                <a:pos x="14" y="52"/>
              </a:cxn>
              <a:cxn ang="0">
                <a:pos x="29" y="67"/>
              </a:cxn>
              <a:cxn ang="0">
                <a:pos x="29" y="61"/>
              </a:cxn>
              <a:cxn ang="0">
                <a:pos x="29" y="58"/>
              </a:cxn>
              <a:cxn ang="0">
                <a:pos x="29" y="52"/>
              </a:cxn>
              <a:cxn ang="0">
                <a:pos x="29" y="49"/>
              </a:cxn>
              <a:cxn ang="0">
                <a:pos x="29" y="44"/>
              </a:cxn>
              <a:cxn ang="0">
                <a:pos x="29" y="41"/>
              </a:cxn>
              <a:cxn ang="0">
                <a:pos x="29" y="38"/>
              </a:cxn>
              <a:cxn ang="0">
                <a:pos x="29" y="32"/>
              </a:cxn>
              <a:cxn ang="0">
                <a:pos x="29" y="29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0"/>
              </a:cxn>
              <a:cxn ang="0">
                <a:pos x="0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0" y="18"/>
              </a:cxn>
              <a:cxn ang="0">
                <a:pos x="0" y="21"/>
              </a:cxn>
              <a:cxn ang="0">
                <a:pos x="0" y="23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0" y="41"/>
              </a:cxn>
              <a:cxn ang="0">
                <a:pos x="0" y="44"/>
              </a:cxn>
              <a:cxn ang="0">
                <a:pos x="0" y="49"/>
              </a:cxn>
              <a:cxn ang="0">
                <a:pos x="0" y="52"/>
              </a:cxn>
              <a:cxn ang="0">
                <a:pos x="0" y="58"/>
              </a:cxn>
              <a:cxn ang="0">
                <a:pos x="0" y="61"/>
              </a:cxn>
              <a:cxn ang="0">
                <a:pos x="0" y="64"/>
              </a:cxn>
              <a:cxn ang="0">
                <a:pos x="14" y="78"/>
              </a:cxn>
              <a:cxn ang="0">
                <a:pos x="0" y="64"/>
              </a:cxn>
              <a:cxn ang="0">
                <a:pos x="0" y="78"/>
              </a:cxn>
              <a:cxn ang="0">
                <a:pos x="14" y="78"/>
              </a:cxn>
              <a:cxn ang="0">
                <a:pos x="14" y="52"/>
              </a:cxn>
            </a:cxnLst>
            <a:rect l="0" t="0" r="r" b="b"/>
            <a:pathLst>
              <a:path w="29" h="78">
                <a:moveTo>
                  <a:pt x="14" y="52"/>
                </a:moveTo>
                <a:lnTo>
                  <a:pt x="29" y="67"/>
                </a:lnTo>
                <a:lnTo>
                  <a:pt x="29" y="61"/>
                </a:lnTo>
                <a:lnTo>
                  <a:pt x="29" y="58"/>
                </a:lnTo>
                <a:lnTo>
                  <a:pt x="29" y="52"/>
                </a:lnTo>
                <a:lnTo>
                  <a:pt x="29" y="49"/>
                </a:lnTo>
                <a:lnTo>
                  <a:pt x="29" y="44"/>
                </a:lnTo>
                <a:lnTo>
                  <a:pt x="29" y="41"/>
                </a:lnTo>
                <a:lnTo>
                  <a:pt x="29" y="38"/>
                </a:lnTo>
                <a:lnTo>
                  <a:pt x="29" y="32"/>
                </a:lnTo>
                <a:lnTo>
                  <a:pt x="29" y="29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0"/>
                </a:lnTo>
                <a:lnTo>
                  <a:pt x="0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0" y="18"/>
                </a:lnTo>
                <a:lnTo>
                  <a:pt x="0" y="21"/>
                </a:lnTo>
                <a:lnTo>
                  <a:pt x="0" y="23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0" y="41"/>
                </a:lnTo>
                <a:lnTo>
                  <a:pt x="0" y="44"/>
                </a:lnTo>
                <a:lnTo>
                  <a:pt x="0" y="49"/>
                </a:lnTo>
                <a:lnTo>
                  <a:pt x="0" y="52"/>
                </a:lnTo>
                <a:lnTo>
                  <a:pt x="0" y="58"/>
                </a:lnTo>
                <a:lnTo>
                  <a:pt x="0" y="61"/>
                </a:lnTo>
                <a:lnTo>
                  <a:pt x="0" y="64"/>
                </a:lnTo>
                <a:lnTo>
                  <a:pt x="14" y="78"/>
                </a:lnTo>
                <a:lnTo>
                  <a:pt x="0" y="64"/>
                </a:lnTo>
                <a:lnTo>
                  <a:pt x="0" y="78"/>
                </a:lnTo>
                <a:lnTo>
                  <a:pt x="14" y="78"/>
                </a:lnTo>
                <a:lnTo>
                  <a:pt x="14" y="5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1" name="Freeform 7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/>
        </xdr:nvSpPr>
        <xdr:spPr>
          <a:xfrm>
            <a:off x="10058" y="9943"/>
            <a:ext cx="27" cy="26"/>
          </a:xfrm>
          <a:custGeom>
            <a:avLst/>
            <a:gdLst/>
            <a:ahLst/>
            <a:cxnLst>
              <a:cxn ang="0">
                <a:pos x="0" y="12"/>
              </a:cxn>
              <a:cxn ang="0">
                <a:pos x="12" y="0"/>
              </a:cxn>
              <a:cxn ang="0">
                <a:pos x="12" y="0"/>
              </a:cxn>
              <a:cxn ang="0">
                <a:pos x="12" y="26"/>
              </a:cxn>
              <a:cxn ang="0">
                <a:pos x="12" y="26"/>
              </a:cxn>
              <a:cxn ang="0">
                <a:pos x="27" y="17"/>
              </a:cxn>
              <a:cxn ang="0">
                <a:pos x="12" y="26"/>
              </a:cxn>
              <a:cxn ang="0">
                <a:pos x="24" y="26"/>
              </a:cxn>
              <a:cxn ang="0">
                <a:pos x="27" y="17"/>
              </a:cxn>
              <a:cxn ang="0">
                <a:pos x="0" y="12"/>
              </a:cxn>
            </a:cxnLst>
            <a:rect l="0" t="0" r="r" b="b"/>
            <a:pathLst>
              <a:path w="27" h="26">
                <a:moveTo>
                  <a:pt x="0" y="12"/>
                </a:moveTo>
                <a:lnTo>
                  <a:pt x="12" y="0"/>
                </a:lnTo>
                <a:lnTo>
                  <a:pt x="12" y="0"/>
                </a:lnTo>
                <a:lnTo>
                  <a:pt x="12" y="26"/>
                </a:lnTo>
                <a:lnTo>
                  <a:pt x="12" y="26"/>
                </a:lnTo>
                <a:lnTo>
                  <a:pt x="27" y="17"/>
                </a:lnTo>
                <a:lnTo>
                  <a:pt x="12" y="26"/>
                </a:lnTo>
                <a:lnTo>
                  <a:pt x="24" y="26"/>
                </a:lnTo>
                <a:lnTo>
                  <a:pt x="27" y="17"/>
                </a:lnTo>
                <a:lnTo>
                  <a:pt x="0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2" name="Freeform 7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/>
        </xdr:nvSpPr>
        <xdr:spPr>
          <a:xfrm>
            <a:off x="10058" y="9909"/>
            <a:ext cx="39" cy="49"/>
          </a:xfrm>
          <a:custGeom>
            <a:avLst/>
            <a:gdLst/>
            <a:ahLst/>
            <a:cxnLst>
              <a:cxn ang="0">
                <a:pos x="12" y="3"/>
              </a:cxn>
              <a:cxn ang="0">
                <a:pos x="12" y="0"/>
              </a:cxn>
              <a:cxn ang="0">
                <a:pos x="12" y="5"/>
              </a:cxn>
              <a:cxn ang="0">
                <a:pos x="9" y="8"/>
              </a:cxn>
              <a:cxn ang="0">
                <a:pos x="6" y="14"/>
              </a:cxn>
              <a:cxn ang="0">
                <a:pos x="6" y="20"/>
              </a:cxn>
              <a:cxn ang="0">
                <a:pos x="3" y="26"/>
              </a:cxn>
              <a:cxn ang="0">
                <a:pos x="3" y="31"/>
              </a:cxn>
              <a:cxn ang="0">
                <a:pos x="0" y="37"/>
              </a:cxn>
              <a:cxn ang="0">
                <a:pos x="0" y="46"/>
              </a:cxn>
              <a:cxn ang="0">
                <a:pos x="27" y="49"/>
              </a:cxn>
              <a:cxn ang="0">
                <a:pos x="27" y="43"/>
              </a:cxn>
              <a:cxn ang="0">
                <a:pos x="30" y="37"/>
              </a:cxn>
              <a:cxn ang="0">
                <a:pos x="30" y="31"/>
              </a:cxn>
              <a:cxn ang="0">
                <a:pos x="33" y="26"/>
              </a:cxn>
              <a:cxn ang="0">
                <a:pos x="33" y="23"/>
              </a:cxn>
              <a:cxn ang="0">
                <a:pos x="36" y="17"/>
              </a:cxn>
              <a:cxn ang="0">
                <a:pos x="39" y="11"/>
              </a:cxn>
              <a:cxn ang="0">
                <a:pos x="39" y="8"/>
              </a:cxn>
              <a:cxn ang="0">
                <a:pos x="39" y="8"/>
              </a:cxn>
              <a:cxn ang="0">
                <a:pos x="12" y="3"/>
              </a:cxn>
            </a:cxnLst>
            <a:rect l="0" t="0" r="r" b="b"/>
            <a:pathLst>
              <a:path w="39" h="49">
                <a:moveTo>
                  <a:pt x="12" y="3"/>
                </a:moveTo>
                <a:lnTo>
                  <a:pt x="12" y="0"/>
                </a:lnTo>
                <a:lnTo>
                  <a:pt x="12" y="5"/>
                </a:lnTo>
                <a:lnTo>
                  <a:pt x="9" y="8"/>
                </a:lnTo>
                <a:lnTo>
                  <a:pt x="6" y="14"/>
                </a:lnTo>
                <a:lnTo>
                  <a:pt x="6" y="20"/>
                </a:lnTo>
                <a:lnTo>
                  <a:pt x="3" y="26"/>
                </a:lnTo>
                <a:lnTo>
                  <a:pt x="3" y="31"/>
                </a:lnTo>
                <a:lnTo>
                  <a:pt x="0" y="37"/>
                </a:lnTo>
                <a:lnTo>
                  <a:pt x="0" y="46"/>
                </a:lnTo>
                <a:lnTo>
                  <a:pt x="27" y="49"/>
                </a:lnTo>
                <a:lnTo>
                  <a:pt x="27" y="43"/>
                </a:lnTo>
                <a:lnTo>
                  <a:pt x="30" y="37"/>
                </a:lnTo>
                <a:lnTo>
                  <a:pt x="30" y="31"/>
                </a:lnTo>
                <a:lnTo>
                  <a:pt x="33" y="26"/>
                </a:lnTo>
                <a:lnTo>
                  <a:pt x="33" y="23"/>
                </a:lnTo>
                <a:lnTo>
                  <a:pt x="36" y="17"/>
                </a:lnTo>
                <a:lnTo>
                  <a:pt x="39" y="11"/>
                </a:lnTo>
                <a:lnTo>
                  <a:pt x="39" y="8"/>
                </a:lnTo>
                <a:lnTo>
                  <a:pt x="39" y="8"/>
                </a:lnTo>
                <a:lnTo>
                  <a:pt x="12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3" name="Freeform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10070" y="9880"/>
            <a:ext cx="36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6" y="6"/>
              </a:cxn>
              <a:cxn ang="0">
                <a:pos x="6" y="8"/>
              </a:cxn>
              <a:cxn ang="0">
                <a:pos x="6" y="14"/>
              </a:cxn>
              <a:cxn ang="0">
                <a:pos x="3" y="17"/>
              </a:cxn>
              <a:cxn ang="0">
                <a:pos x="3" y="20"/>
              </a:cxn>
              <a:cxn ang="0">
                <a:pos x="0" y="26"/>
              </a:cxn>
              <a:cxn ang="0">
                <a:pos x="0" y="32"/>
              </a:cxn>
              <a:cxn ang="0">
                <a:pos x="27" y="37"/>
              </a:cxn>
              <a:cxn ang="0">
                <a:pos x="30" y="34"/>
              </a:cxn>
              <a:cxn ang="0">
                <a:pos x="30" y="29"/>
              </a:cxn>
              <a:cxn ang="0">
                <a:pos x="30" y="26"/>
              </a:cxn>
              <a:cxn ang="0">
                <a:pos x="33" y="23"/>
              </a:cxn>
              <a:cxn ang="0">
                <a:pos x="33" y="17"/>
              </a:cxn>
              <a:cxn ang="0">
                <a:pos x="33" y="14"/>
              </a:cxn>
              <a:cxn ang="0">
                <a:pos x="36" y="11"/>
              </a:cxn>
              <a:cxn ang="0">
                <a:pos x="36" y="8"/>
              </a:cxn>
              <a:cxn ang="0">
                <a:pos x="36" y="6"/>
              </a:cxn>
              <a:cxn ang="0">
                <a:pos x="9" y="0"/>
              </a:cxn>
            </a:cxnLst>
            <a:rect l="0" t="0" r="r" b="b"/>
            <a:pathLst>
              <a:path w="36" h="37">
                <a:moveTo>
                  <a:pt x="9" y="0"/>
                </a:moveTo>
                <a:lnTo>
                  <a:pt x="9" y="0"/>
                </a:lnTo>
                <a:lnTo>
                  <a:pt x="9" y="3"/>
                </a:lnTo>
                <a:lnTo>
                  <a:pt x="6" y="6"/>
                </a:lnTo>
                <a:lnTo>
                  <a:pt x="6" y="8"/>
                </a:lnTo>
                <a:lnTo>
                  <a:pt x="6" y="14"/>
                </a:lnTo>
                <a:lnTo>
                  <a:pt x="3" y="17"/>
                </a:lnTo>
                <a:lnTo>
                  <a:pt x="3" y="20"/>
                </a:lnTo>
                <a:lnTo>
                  <a:pt x="0" y="26"/>
                </a:lnTo>
                <a:lnTo>
                  <a:pt x="0" y="32"/>
                </a:lnTo>
                <a:lnTo>
                  <a:pt x="27" y="37"/>
                </a:lnTo>
                <a:lnTo>
                  <a:pt x="30" y="34"/>
                </a:lnTo>
                <a:lnTo>
                  <a:pt x="30" y="29"/>
                </a:lnTo>
                <a:lnTo>
                  <a:pt x="30" y="26"/>
                </a:lnTo>
                <a:lnTo>
                  <a:pt x="33" y="23"/>
                </a:lnTo>
                <a:lnTo>
                  <a:pt x="33" y="17"/>
                </a:lnTo>
                <a:lnTo>
                  <a:pt x="33" y="14"/>
                </a:lnTo>
                <a:lnTo>
                  <a:pt x="36" y="11"/>
                </a:lnTo>
                <a:lnTo>
                  <a:pt x="36" y="8"/>
                </a:lnTo>
                <a:lnTo>
                  <a:pt x="36" y="6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4" name="Freeform 7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/>
        </xdr:nvSpPr>
        <xdr:spPr>
          <a:xfrm>
            <a:off x="10079" y="9825"/>
            <a:ext cx="41" cy="61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15" y="9"/>
              </a:cxn>
              <a:cxn ang="0">
                <a:pos x="12" y="17"/>
              </a:cxn>
              <a:cxn ang="0">
                <a:pos x="9" y="23"/>
              </a:cxn>
              <a:cxn ang="0">
                <a:pos x="9" y="29"/>
              </a:cxn>
              <a:cxn ang="0">
                <a:pos x="6" y="35"/>
              </a:cxn>
              <a:cxn ang="0">
                <a:pos x="3" y="40"/>
              </a:cxn>
              <a:cxn ang="0">
                <a:pos x="3" y="46"/>
              </a:cxn>
              <a:cxn ang="0">
                <a:pos x="0" y="52"/>
              </a:cxn>
              <a:cxn ang="0">
                <a:pos x="0" y="55"/>
              </a:cxn>
              <a:cxn ang="0">
                <a:pos x="27" y="61"/>
              </a:cxn>
              <a:cxn ang="0">
                <a:pos x="27" y="58"/>
              </a:cxn>
              <a:cxn ang="0">
                <a:pos x="29" y="52"/>
              </a:cxn>
              <a:cxn ang="0">
                <a:pos x="29" y="49"/>
              </a:cxn>
              <a:cxn ang="0">
                <a:pos x="32" y="43"/>
              </a:cxn>
              <a:cxn ang="0">
                <a:pos x="35" y="38"/>
              </a:cxn>
              <a:cxn ang="0">
                <a:pos x="35" y="32"/>
              </a:cxn>
              <a:cxn ang="0">
                <a:pos x="38" y="23"/>
              </a:cxn>
              <a:cxn ang="0">
                <a:pos x="41" y="17"/>
              </a:cxn>
              <a:cxn ang="0">
                <a:pos x="27" y="29"/>
              </a:cxn>
              <a:cxn ang="0">
                <a:pos x="27" y="0"/>
              </a:cxn>
              <a:cxn ang="0">
                <a:pos x="18" y="0"/>
              </a:cxn>
              <a:cxn ang="0">
                <a:pos x="15" y="9"/>
              </a:cxn>
              <a:cxn ang="0">
                <a:pos x="27" y="0"/>
              </a:cxn>
            </a:cxnLst>
            <a:rect l="0" t="0" r="r" b="b"/>
            <a:pathLst>
              <a:path w="41" h="61">
                <a:moveTo>
                  <a:pt x="27" y="0"/>
                </a:moveTo>
                <a:lnTo>
                  <a:pt x="15" y="9"/>
                </a:lnTo>
                <a:lnTo>
                  <a:pt x="12" y="17"/>
                </a:lnTo>
                <a:lnTo>
                  <a:pt x="9" y="23"/>
                </a:lnTo>
                <a:lnTo>
                  <a:pt x="9" y="29"/>
                </a:lnTo>
                <a:lnTo>
                  <a:pt x="6" y="35"/>
                </a:lnTo>
                <a:lnTo>
                  <a:pt x="3" y="40"/>
                </a:lnTo>
                <a:lnTo>
                  <a:pt x="3" y="46"/>
                </a:lnTo>
                <a:lnTo>
                  <a:pt x="0" y="52"/>
                </a:lnTo>
                <a:lnTo>
                  <a:pt x="0" y="55"/>
                </a:lnTo>
                <a:lnTo>
                  <a:pt x="27" y="61"/>
                </a:lnTo>
                <a:lnTo>
                  <a:pt x="27" y="58"/>
                </a:lnTo>
                <a:lnTo>
                  <a:pt x="29" y="52"/>
                </a:lnTo>
                <a:lnTo>
                  <a:pt x="29" y="49"/>
                </a:lnTo>
                <a:lnTo>
                  <a:pt x="32" y="43"/>
                </a:lnTo>
                <a:lnTo>
                  <a:pt x="35" y="38"/>
                </a:lnTo>
                <a:lnTo>
                  <a:pt x="35" y="32"/>
                </a:lnTo>
                <a:lnTo>
                  <a:pt x="38" y="23"/>
                </a:lnTo>
                <a:lnTo>
                  <a:pt x="41" y="17"/>
                </a:lnTo>
                <a:lnTo>
                  <a:pt x="27" y="29"/>
                </a:lnTo>
                <a:lnTo>
                  <a:pt x="27" y="0"/>
                </a:lnTo>
                <a:lnTo>
                  <a:pt x="18" y="0"/>
                </a:lnTo>
                <a:lnTo>
                  <a:pt x="15" y="9"/>
                </a:lnTo>
                <a:lnTo>
                  <a:pt x="27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5" name="Freeform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/>
        </xdr:nvSpPr>
        <xdr:spPr>
          <a:xfrm>
            <a:off x="10106" y="9825"/>
            <a:ext cx="73" cy="29"/>
          </a:xfrm>
          <a:custGeom>
            <a:avLst/>
            <a:gdLst/>
            <a:ahLst/>
            <a:cxnLst>
              <a:cxn ang="0">
                <a:pos x="64" y="20"/>
              </a:cxn>
              <a:cxn ang="0">
                <a:pos x="52" y="0"/>
              </a:cxn>
              <a:cxn ang="0">
                <a:pos x="0" y="0"/>
              </a:cxn>
              <a:cxn ang="0">
                <a:pos x="0" y="29"/>
              </a:cxn>
              <a:cxn ang="0">
                <a:pos x="52" y="29"/>
              </a:cxn>
              <a:cxn ang="0">
                <a:pos x="41" y="9"/>
              </a:cxn>
              <a:cxn ang="0">
                <a:pos x="64" y="20"/>
              </a:cxn>
              <a:cxn ang="0">
                <a:pos x="73" y="0"/>
              </a:cxn>
              <a:cxn ang="0">
                <a:pos x="52" y="0"/>
              </a:cxn>
              <a:cxn ang="0">
                <a:pos x="64" y="20"/>
              </a:cxn>
            </a:cxnLst>
            <a:rect l="0" t="0" r="r" b="b"/>
            <a:pathLst>
              <a:path w="73" h="29">
                <a:moveTo>
                  <a:pt x="64" y="20"/>
                </a:moveTo>
                <a:lnTo>
                  <a:pt x="52" y="0"/>
                </a:lnTo>
                <a:lnTo>
                  <a:pt x="0" y="0"/>
                </a:lnTo>
                <a:lnTo>
                  <a:pt x="0" y="29"/>
                </a:lnTo>
                <a:lnTo>
                  <a:pt x="52" y="29"/>
                </a:lnTo>
                <a:lnTo>
                  <a:pt x="41" y="9"/>
                </a:lnTo>
                <a:lnTo>
                  <a:pt x="64" y="20"/>
                </a:lnTo>
                <a:lnTo>
                  <a:pt x="73" y="0"/>
                </a:lnTo>
                <a:lnTo>
                  <a:pt x="52" y="0"/>
                </a:lnTo>
                <a:lnTo>
                  <a:pt x="64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6" name="Freeform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10070" y="9834"/>
            <a:ext cx="100" cy="198"/>
          </a:xfrm>
          <a:custGeom>
            <a:avLst/>
            <a:gdLst/>
            <a:ahLst/>
            <a:cxnLst>
              <a:cxn ang="0">
                <a:pos x="15" y="198"/>
              </a:cxn>
              <a:cxn ang="0">
                <a:pos x="27" y="190"/>
              </a:cxn>
              <a:cxn ang="0">
                <a:pos x="100" y="11"/>
              </a:cxn>
              <a:cxn ang="0">
                <a:pos x="74" y="0"/>
              </a:cxn>
              <a:cxn ang="0">
                <a:pos x="0" y="178"/>
              </a:cxn>
              <a:cxn ang="0">
                <a:pos x="15" y="170"/>
              </a:cxn>
              <a:cxn ang="0">
                <a:pos x="15" y="198"/>
              </a:cxn>
              <a:cxn ang="0">
                <a:pos x="24" y="198"/>
              </a:cxn>
              <a:cxn ang="0">
                <a:pos x="27" y="190"/>
              </a:cxn>
              <a:cxn ang="0">
                <a:pos x="15" y="198"/>
              </a:cxn>
            </a:cxnLst>
            <a:rect l="0" t="0" r="r" b="b"/>
            <a:pathLst>
              <a:path w="100" h="198">
                <a:moveTo>
                  <a:pt x="15" y="198"/>
                </a:moveTo>
                <a:lnTo>
                  <a:pt x="27" y="190"/>
                </a:lnTo>
                <a:lnTo>
                  <a:pt x="100" y="11"/>
                </a:lnTo>
                <a:lnTo>
                  <a:pt x="74" y="0"/>
                </a:lnTo>
                <a:lnTo>
                  <a:pt x="0" y="178"/>
                </a:lnTo>
                <a:lnTo>
                  <a:pt x="15" y="170"/>
                </a:lnTo>
                <a:lnTo>
                  <a:pt x="15" y="198"/>
                </a:lnTo>
                <a:lnTo>
                  <a:pt x="24" y="198"/>
                </a:lnTo>
                <a:lnTo>
                  <a:pt x="27" y="190"/>
                </a:lnTo>
                <a:lnTo>
                  <a:pt x="15" y="19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7" name="Freeform 7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/>
        </xdr:nvSpPr>
        <xdr:spPr>
          <a:xfrm>
            <a:off x="10020" y="10004"/>
            <a:ext cx="65" cy="28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5" y="28"/>
              </a:cxn>
              <a:cxn ang="0">
                <a:pos x="65" y="28"/>
              </a:cxn>
              <a:cxn ang="0">
                <a:pos x="65" y="0"/>
              </a:cxn>
              <a:cxn ang="0">
                <a:pos x="15" y="0"/>
              </a:cxn>
              <a:cxn ang="0">
                <a:pos x="30" y="14"/>
              </a:cxn>
              <a:cxn ang="0">
                <a:pos x="0" y="14"/>
              </a:cxn>
              <a:cxn ang="0">
                <a:pos x="3" y="28"/>
              </a:cxn>
              <a:cxn ang="0">
                <a:pos x="15" y="28"/>
              </a:cxn>
              <a:cxn ang="0">
                <a:pos x="0" y="14"/>
              </a:cxn>
            </a:cxnLst>
            <a:rect l="0" t="0" r="r" b="b"/>
            <a:pathLst>
              <a:path w="65" h="28">
                <a:moveTo>
                  <a:pt x="0" y="14"/>
                </a:moveTo>
                <a:lnTo>
                  <a:pt x="15" y="28"/>
                </a:lnTo>
                <a:lnTo>
                  <a:pt x="65" y="28"/>
                </a:lnTo>
                <a:lnTo>
                  <a:pt x="65" y="0"/>
                </a:lnTo>
                <a:lnTo>
                  <a:pt x="15" y="0"/>
                </a:lnTo>
                <a:lnTo>
                  <a:pt x="30" y="14"/>
                </a:lnTo>
                <a:lnTo>
                  <a:pt x="0" y="14"/>
                </a:lnTo>
                <a:lnTo>
                  <a:pt x="3" y="28"/>
                </a:lnTo>
                <a:lnTo>
                  <a:pt x="15" y="28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8" name="Freeform 7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/>
        </xdr:nvSpPr>
        <xdr:spPr>
          <a:xfrm>
            <a:off x="10123" y="9825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6" y="15"/>
              </a:cxn>
              <a:cxn ang="0">
                <a:pos x="41" y="29"/>
              </a:cxn>
              <a:cxn ang="0">
                <a:pos x="41" y="0"/>
              </a:cxn>
              <a:cxn ang="0">
                <a:pos x="30" y="0"/>
              </a:cxn>
              <a:cxn ang="0">
                <a:pos x="27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6" y="15"/>
                </a:lnTo>
                <a:lnTo>
                  <a:pt x="41" y="29"/>
                </a:lnTo>
                <a:lnTo>
                  <a:pt x="41" y="0"/>
                </a:lnTo>
                <a:lnTo>
                  <a:pt x="30" y="0"/>
                </a:lnTo>
                <a:lnTo>
                  <a:pt x="27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9" name="Freeform 7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/>
        </xdr:nvSpPr>
        <xdr:spPr>
          <a:xfrm>
            <a:off x="10164" y="9825"/>
            <a:ext cx="103" cy="29"/>
          </a:xfrm>
          <a:custGeom>
            <a:avLst/>
            <a:gdLst/>
            <a:ahLst/>
            <a:cxnLst>
              <a:cxn ang="0">
                <a:pos x="100" y="15"/>
              </a:cxn>
              <a:cxn ang="0">
                <a:pos x="89" y="0"/>
              </a:cxn>
              <a:cxn ang="0">
                <a:pos x="0" y="0"/>
              </a:cxn>
              <a:cxn ang="0">
                <a:pos x="0" y="29"/>
              </a:cxn>
              <a:cxn ang="0">
                <a:pos x="89" y="29"/>
              </a:cxn>
              <a:cxn ang="0">
                <a:pos x="74" y="12"/>
              </a:cxn>
              <a:cxn ang="0">
                <a:pos x="100" y="15"/>
              </a:cxn>
              <a:cxn ang="0">
                <a:pos x="103" y="0"/>
              </a:cxn>
              <a:cxn ang="0">
                <a:pos x="89" y="0"/>
              </a:cxn>
              <a:cxn ang="0">
                <a:pos x="100" y="15"/>
              </a:cxn>
            </a:cxnLst>
            <a:rect l="0" t="0" r="r" b="b"/>
            <a:pathLst>
              <a:path w="103" h="29">
                <a:moveTo>
                  <a:pt x="100" y="15"/>
                </a:moveTo>
                <a:lnTo>
                  <a:pt x="89" y="0"/>
                </a:lnTo>
                <a:lnTo>
                  <a:pt x="0" y="0"/>
                </a:lnTo>
                <a:lnTo>
                  <a:pt x="0" y="29"/>
                </a:lnTo>
                <a:lnTo>
                  <a:pt x="89" y="29"/>
                </a:lnTo>
                <a:lnTo>
                  <a:pt x="74" y="12"/>
                </a:lnTo>
                <a:lnTo>
                  <a:pt x="100" y="15"/>
                </a:lnTo>
                <a:lnTo>
                  <a:pt x="103" y="0"/>
                </a:lnTo>
                <a:lnTo>
                  <a:pt x="89" y="0"/>
                </a:lnTo>
                <a:lnTo>
                  <a:pt x="100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0" name="Freeform 7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/>
        </xdr:nvSpPr>
        <xdr:spPr>
          <a:xfrm>
            <a:off x="10232" y="9837"/>
            <a:ext cx="32" cy="60"/>
          </a:xfrm>
          <a:custGeom>
            <a:avLst/>
            <a:gdLst/>
            <a:ahLst/>
            <a:cxnLst>
              <a:cxn ang="0">
                <a:pos x="12" y="60"/>
              </a:cxn>
              <a:cxn ang="0">
                <a:pos x="27" y="46"/>
              </a:cxn>
              <a:cxn ang="0">
                <a:pos x="32" y="5"/>
              </a:cxn>
              <a:cxn ang="0">
                <a:pos x="6" y="0"/>
              </a:cxn>
              <a:cxn ang="0">
                <a:pos x="0" y="43"/>
              </a:cxn>
              <a:cxn ang="0">
                <a:pos x="12" y="31"/>
              </a:cxn>
              <a:cxn ang="0">
                <a:pos x="12" y="60"/>
              </a:cxn>
              <a:cxn ang="0">
                <a:pos x="24" y="60"/>
              </a:cxn>
              <a:cxn ang="0">
                <a:pos x="27" y="46"/>
              </a:cxn>
              <a:cxn ang="0">
                <a:pos x="12" y="60"/>
              </a:cxn>
            </a:cxnLst>
            <a:rect l="0" t="0" r="r" b="b"/>
            <a:pathLst>
              <a:path w="32" h="60">
                <a:moveTo>
                  <a:pt x="12" y="60"/>
                </a:moveTo>
                <a:lnTo>
                  <a:pt x="27" y="46"/>
                </a:lnTo>
                <a:lnTo>
                  <a:pt x="32" y="5"/>
                </a:lnTo>
                <a:lnTo>
                  <a:pt x="6" y="0"/>
                </a:lnTo>
                <a:lnTo>
                  <a:pt x="0" y="43"/>
                </a:lnTo>
                <a:lnTo>
                  <a:pt x="12" y="31"/>
                </a:lnTo>
                <a:lnTo>
                  <a:pt x="12" y="60"/>
                </a:lnTo>
                <a:lnTo>
                  <a:pt x="24" y="60"/>
                </a:lnTo>
                <a:lnTo>
                  <a:pt x="27" y="46"/>
                </a:lnTo>
                <a:lnTo>
                  <a:pt x="12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1" name="Freeform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/>
        </xdr:nvSpPr>
        <xdr:spPr>
          <a:xfrm>
            <a:off x="10191" y="9868"/>
            <a:ext cx="56" cy="29"/>
          </a:xfrm>
          <a:custGeom>
            <a:avLst/>
            <a:gdLst/>
            <a:ahLst/>
            <a:cxnLst>
              <a:cxn ang="0">
                <a:pos x="26" y="18"/>
              </a:cxn>
              <a:cxn ang="0">
                <a:pos x="15" y="29"/>
              </a:cxn>
              <a:cxn ang="0">
                <a:pos x="56" y="29"/>
              </a:cxn>
              <a:cxn ang="0">
                <a:pos x="56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6" y="18"/>
              </a:cxn>
            </a:cxnLst>
            <a:rect l="0" t="0" r="r" b="b"/>
            <a:pathLst>
              <a:path w="56" h="29">
                <a:moveTo>
                  <a:pt x="26" y="18"/>
                </a:moveTo>
                <a:lnTo>
                  <a:pt x="15" y="29"/>
                </a:lnTo>
                <a:lnTo>
                  <a:pt x="56" y="29"/>
                </a:lnTo>
                <a:lnTo>
                  <a:pt x="56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6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2" name="Freeform 8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/>
        </xdr:nvSpPr>
        <xdr:spPr>
          <a:xfrm>
            <a:off x="10185" y="9880"/>
            <a:ext cx="32" cy="40"/>
          </a:xfrm>
          <a:custGeom>
            <a:avLst/>
            <a:gdLst/>
            <a:ahLst/>
            <a:cxnLst>
              <a:cxn ang="0">
                <a:pos x="18" y="11"/>
              </a:cxn>
              <a:cxn ang="0">
                <a:pos x="29" y="29"/>
              </a:cxn>
              <a:cxn ang="0">
                <a:pos x="32" y="3"/>
              </a:cxn>
              <a:cxn ang="0">
                <a:pos x="6" y="0"/>
              </a:cxn>
              <a:cxn ang="0">
                <a:pos x="3" y="26"/>
              </a:cxn>
              <a:cxn ang="0">
                <a:pos x="18" y="40"/>
              </a:cxn>
              <a:cxn ang="0">
                <a:pos x="3" y="26"/>
              </a:cxn>
              <a:cxn ang="0">
                <a:pos x="0" y="40"/>
              </a:cxn>
              <a:cxn ang="0">
                <a:pos x="18" y="40"/>
              </a:cxn>
              <a:cxn ang="0">
                <a:pos x="18" y="11"/>
              </a:cxn>
            </a:cxnLst>
            <a:rect l="0" t="0" r="r" b="b"/>
            <a:pathLst>
              <a:path w="32" h="40">
                <a:moveTo>
                  <a:pt x="18" y="11"/>
                </a:moveTo>
                <a:lnTo>
                  <a:pt x="29" y="29"/>
                </a:lnTo>
                <a:lnTo>
                  <a:pt x="32" y="3"/>
                </a:lnTo>
                <a:lnTo>
                  <a:pt x="6" y="0"/>
                </a:lnTo>
                <a:lnTo>
                  <a:pt x="3" y="26"/>
                </a:lnTo>
                <a:lnTo>
                  <a:pt x="18" y="40"/>
                </a:lnTo>
                <a:lnTo>
                  <a:pt x="3" y="26"/>
                </a:lnTo>
                <a:lnTo>
                  <a:pt x="0" y="40"/>
                </a:lnTo>
                <a:lnTo>
                  <a:pt x="18" y="40"/>
                </a:lnTo>
                <a:lnTo>
                  <a:pt x="18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3" name="Freeform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10200" y="9891"/>
            <a:ext cx="56" cy="29"/>
          </a:xfrm>
          <a:custGeom>
            <a:avLst/>
            <a:gdLst/>
            <a:ahLst/>
            <a:cxnLst>
              <a:cxn ang="0">
                <a:pos x="53" y="18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3" y="12"/>
              </a:cxn>
              <a:cxn ang="0">
                <a:pos x="53" y="18"/>
              </a:cxn>
              <a:cxn ang="0">
                <a:pos x="56" y="0"/>
              </a:cxn>
              <a:cxn ang="0">
                <a:pos x="38" y="0"/>
              </a:cxn>
              <a:cxn ang="0">
                <a:pos x="53" y="18"/>
              </a:cxn>
            </a:cxnLst>
            <a:rect l="0" t="0" r="r" b="b"/>
            <a:pathLst>
              <a:path w="56" h="29">
                <a:moveTo>
                  <a:pt x="53" y="18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3" y="12"/>
                </a:lnTo>
                <a:lnTo>
                  <a:pt x="53" y="18"/>
                </a:lnTo>
                <a:lnTo>
                  <a:pt x="56" y="0"/>
                </a:lnTo>
                <a:lnTo>
                  <a:pt x="38" y="0"/>
                </a:lnTo>
                <a:lnTo>
                  <a:pt x="53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4" name="Freeform 83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/>
        </xdr:nvSpPr>
        <xdr:spPr>
          <a:xfrm>
            <a:off x="10217" y="9903"/>
            <a:ext cx="36" cy="60"/>
          </a:xfrm>
          <a:custGeom>
            <a:avLst/>
            <a:gdLst/>
            <a:ahLst/>
            <a:cxnLst>
              <a:cxn ang="0">
                <a:pos x="15" y="60"/>
              </a:cxn>
              <a:cxn ang="0">
                <a:pos x="27" y="49"/>
              </a:cxn>
              <a:cxn ang="0">
                <a:pos x="36" y="6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0"/>
              </a:cxn>
              <a:cxn ang="0">
                <a:pos x="24" y="60"/>
              </a:cxn>
              <a:cxn ang="0">
                <a:pos x="27" y="49"/>
              </a:cxn>
              <a:cxn ang="0">
                <a:pos x="15" y="60"/>
              </a:cxn>
            </a:cxnLst>
            <a:rect l="0" t="0" r="r" b="b"/>
            <a:pathLst>
              <a:path w="36" h="60">
                <a:moveTo>
                  <a:pt x="15" y="60"/>
                </a:moveTo>
                <a:lnTo>
                  <a:pt x="27" y="49"/>
                </a:lnTo>
                <a:lnTo>
                  <a:pt x="36" y="6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60"/>
                </a:lnTo>
                <a:lnTo>
                  <a:pt x="24" y="60"/>
                </a:lnTo>
                <a:lnTo>
                  <a:pt x="27" y="49"/>
                </a:lnTo>
                <a:lnTo>
                  <a:pt x="15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5" name="Freeform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/>
        </xdr:nvSpPr>
        <xdr:spPr>
          <a:xfrm>
            <a:off x="10182" y="9935"/>
            <a:ext cx="47" cy="28"/>
          </a:xfrm>
          <a:custGeom>
            <a:avLst/>
            <a:gdLst/>
            <a:ahLst/>
            <a:cxnLst>
              <a:cxn ang="0">
                <a:pos x="27" y="14"/>
              </a:cxn>
              <a:cxn ang="0">
                <a:pos x="12" y="28"/>
              </a:cxn>
              <a:cxn ang="0">
                <a:pos x="47" y="28"/>
              </a:cxn>
              <a:cxn ang="0">
                <a:pos x="47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7" y="14"/>
              </a:cxn>
            </a:cxnLst>
            <a:rect l="0" t="0" r="r" b="b"/>
            <a:pathLst>
              <a:path w="47" h="28">
                <a:moveTo>
                  <a:pt x="27" y="14"/>
                </a:moveTo>
                <a:lnTo>
                  <a:pt x="12" y="28"/>
                </a:lnTo>
                <a:lnTo>
                  <a:pt x="47" y="28"/>
                </a:lnTo>
                <a:lnTo>
                  <a:pt x="47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7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6" name="Freeform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10176" y="9946"/>
            <a:ext cx="33" cy="43"/>
          </a:xfrm>
          <a:custGeom>
            <a:avLst/>
            <a:gdLst/>
            <a:ahLst/>
            <a:cxnLst>
              <a:cxn ang="0">
                <a:pos x="15" y="17"/>
              </a:cxn>
              <a:cxn ang="0">
                <a:pos x="30" y="32"/>
              </a:cxn>
              <a:cxn ang="0">
                <a:pos x="33" y="6"/>
              </a:cxn>
              <a:cxn ang="0">
                <a:pos x="6" y="0"/>
              </a:cxn>
              <a:cxn ang="0">
                <a:pos x="0" y="29"/>
              </a:cxn>
              <a:cxn ang="0">
                <a:pos x="15" y="43"/>
              </a:cxn>
              <a:cxn ang="0">
                <a:pos x="0" y="29"/>
              </a:cxn>
              <a:cxn ang="0">
                <a:pos x="0" y="43"/>
              </a:cxn>
              <a:cxn ang="0">
                <a:pos x="15" y="43"/>
              </a:cxn>
              <a:cxn ang="0">
                <a:pos x="15" y="17"/>
              </a:cxn>
            </a:cxnLst>
            <a:rect l="0" t="0" r="r" b="b"/>
            <a:pathLst>
              <a:path w="33" h="43">
                <a:moveTo>
                  <a:pt x="15" y="17"/>
                </a:moveTo>
                <a:lnTo>
                  <a:pt x="30" y="32"/>
                </a:lnTo>
                <a:lnTo>
                  <a:pt x="33" y="6"/>
                </a:lnTo>
                <a:lnTo>
                  <a:pt x="6" y="0"/>
                </a:lnTo>
                <a:lnTo>
                  <a:pt x="0" y="29"/>
                </a:lnTo>
                <a:lnTo>
                  <a:pt x="15" y="43"/>
                </a:lnTo>
                <a:lnTo>
                  <a:pt x="0" y="29"/>
                </a:lnTo>
                <a:lnTo>
                  <a:pt x="0" y="43"/>
                </a:lnTo>
                <a:lnTo>
                  <a:pt x="15" y="43"/>
                </a:lnTo>
                <a:lnTo>
                  <a:pt x="15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7" name="Freeform 86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/>
        </xdr:nvSpPr>
        <xdr:spPr>
          <a:xfrm>
            <a:off x="10191" y="9960"/>
            <a:ext cx="56" cy="29"/>
          </a:xfrm>
          <a:custGeom>
            <a:avLst/>
            <a:gdLst/>
            <a:ahLst/>
            <a:cxnLst>
              <a:cxn ang="0">
                <a:pos x="53" y="18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6" y="15"/>
              </a:cxn>
              <a:cxn ang="0">
                <a:pos x="53" y="18"/>
              </a:cxn>
              <a:cxn ang="0">
                <a:pos x="56" y="0"/>
              </a:cxn>
              <a:cxn ang="0">
                <a:pos x="38" y="0"/>
              </a:cxn>
              <a:cxn ang="0">
                <a:pos x="53" y="18"/>
              </a:cxn>
            </a:cxnLst>
            <a:rect l="0" t="0" r="r" b="b"/>
            <a:pathLst>
              <a:path w="56" h="29">
                <a:moveTo>
                  <a:pt x="53" y="18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6" y="15"/>
                </a:lnTo>
                <a:lnTo>
                  <a:pt x="53" y="18"/>
                </a:lnTo>
                <a:lnTo>
                  <a:pt x="56" y="0"/>
                </a:lnTo>
                <a:lnTo>
                  <a:pt x="38" y="0"/>
                </a:lnTo>
                <a:lnTo>
                  <a:pt x="53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8" name="Freeform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/>
        </xdr:nvSpPr>
        <xdr:spPr>
          <a:xfrm>
            <a:off x="10211" y="9975"/>
            <a:ext cx="33" cy="57"/>
          </a:xfrm>
          <a:custGeom>
            <a:avLst/>
            <a:gdLst/>
            <a:ahLst/>
            <a:cxnLst>
              <a:cxn ang="0">
                <a:pos x="12" y="57"/>
              </a:cxn>
              <a:cxn ang="0">
                <a:pos x="27" y="46"/>
              </a:cxn>
              <a:cxn ang="0">
                <a:pos x="33" y="3"/>
              </a:cxn>
              <a:cxn ang="0">
                <a:pos x="6" y="0"/>
              </a:cxn>
              <a:cxn ang="0">
                <a:pos x="0" y="40"/>
              </a:cxn>
              <a:cxn ang="0">
                <a:pos x="12" y="29"/>
              </a:cxn>
              <a:cxn ang="0">
                <a:pos x="12" y="57"/>
              </a:cxn>
              <a:cxn ang="0">
                <a:pos x="24" y="57"/>
              </a:cxn>
              <a:cxn ang="0">
                <a:pos x="27" y="46"/>
              </a:cxn>
              <a:cxn ang="0">
                <a:pos x="12" y="57"/>
              </a:cxn>
            </a:cxnLst>
            <a:rect l="0" t="0" r="r" b="b"/>
            <a:pathLst>
              <a:path w="33" h="57">
                <a:moveTo>
                  <a:pt x="12" y="57"/>
                </a:moveTo>
                <a:lnTo>
                  <a:pt x="27" y="46"/>
                </a:lnTo>
                <a:lnTo>
                  <a:pt x="33" y="3"/>
                </a:lnTo>
                <a:lnTo>
                  <a:pt x="6" y="0"/>
                </a:lnTo>
                <a:lnTo>
                  <a:pt x="0" y="40"/>
                </a:lnTo>
                <a:lnTo>
                  <a:pt x="12" y="29"/>
                </a:lnTo>
                <a:lnTo>
                  <a:pt x="12" y="57"/>
                </a:lnTo>
                <a:lnTo>
                  <a:pt x="24" y="57"/>
                </a:lnTo>
                <a:lnTo>
                  <a:pt x="27" y="46"/>
                </a:lnTo>
                <a:lnTo>
                  <a:pt x="12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9" name="Freeform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10120" y="10004"/>
            <a:ext cx="103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8"/>
              </a:cxn>
              <a:cxn ang="0">
                <a:pos x="103" y="28"/>
              </a:cxn>
              <a:cxn ang="0">
                <a:pos x="103" y="0"/>
              </a:cxn>
              <a:cxn ang="0">
                <a:pos x="18" y="0"/>
              </a:cxn>
              <a:cxn ang="0">
                <a:pos x="30" y="17"/>
              </a:cxn>
              <a:cxn ang="0">
                <a:pos x="3" y="11"/>
              </a:cxn>
              <a:cxn ang="0">
                <a:pos x="0" y="28"/>
              </a:cxn>
              <a:cxn ang="0">
                <a:pos x="18" y="28"/>
              </a:cxn>
              <a:cxn ang="0">
                <a:pos x="3" y="11"/>
              </a:cxn>
            </a:cxnLst>
            <a:rect l="0" t="0" r="r" b="b"/>
            <a:pathLst>
              <a:path w="103" h="28">
                <a:moveTo>
                  <a:pt x="3" y="11"/>
                </a:moveTo>
                <a:lnTo>
                  <a:pt x="18" y="28"/>
                </a:lnTo>
                <a:lnTo>
                  <a:pt x="103" y="28"/>
                </a:lnTo>
                <a:lnTo>
                  <a:pt x="103" y="0"/>
                </a:lnTo>
                <a:lnTo>
                  <a:pt x="18" y="0"/>
                </a:lnTo>
                <a:lnTo>
                  <a:pt x="30" y="17"/>
                </a:lnTo>
                <a:lnTo>
                  <a:pt x="3" y="11"/>
                </a:lnTo>
                <a:lnTo>
                  <a:pt x="0" y="28"/>
                </a:lnTo>
                <a:lnTo>
                  <a:pt x="18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0" name="Freeform 89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/>
        </xdr:nvSpPr>
        <xdr:spPr>
          <a:xfrm>
            <a:off x="10229" y="9825"/>
            <a:ext cx="56" cy="196"/>
          </a:xfrm>
          <a:custGeom>
            <a:avLst/>
            <a:gdLst/>
            <a:ahLst/>
            <a:cxnLst>
              <a:cxn ang="0">
                <a:pos x="44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6"/>
              </a:cxn>
              <a:cxn ang="0">
                <a:pos x="56" y="15"/>
              </a:cxn>
              <a:cxn ang="0">
                <a:pos x="44" y="29"/>
              </a:cxn>
              <a:cxn ang="0">
                <a:pos x="44" y="0"/>
              </a:cxn>
              <a:cxn ang="0">
                <a:pos x="30" y="0"/>
              </a:cxn>
              <a:cxn ang="0">
                <a:pos x="30" y="12"/>
              </a:cxn>
              <a:cxn ang="0">
                <a:pos x="44" y="0"/>
              </a:cxn>
            </a:cxnLst>
            <a:rect l="0" t="0" r="r" b="b"/>
            <a:pathLst>
              <a:path w="56" h="196">
                <a:moveTo>
                  <a:pt x="44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6"/>
                </a:lnTo>
                <a:lnTo>
                  <a:pt x="56" y="15"/>
                </a:lnTo>
                <a:lnTo>
                  <a:pt x="44" y="29"/>
                </a:lnTo>
                <a:lnTo>
                  <a:pt x="44" y="0"/>
                </a:lnTo>
                <a:lnTo>
                  <a:pt x="30" y="0"/>
                </a:lnTo>
                <a:lnTo>
                  <a:pt x="30" y="12"/>
                </a:lnTo>
                <a:lnTo>
                  <a:pt x="4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1" name="Freeform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/>
        </xdr:nvSpPr>
        <xdr:spPr>
          <a:xfrm>
            <a:off x="10273" y="9825"/>
            <a:ext cx="50" cy="29"/>
          </a:xfrm>
          <a:custGeom>
            <a:avLst/>
            <a:gdLst/>
            <a:ahLst/>
            <a:cxnLst>
              <a:cxn ang="0">
                <a:pos x="50" y="0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50" y="0"/>
              </a:cxn>
            </a:cxnLst>
            <a:rect l="0" t="0" r="r" b="b"/>
            <a:pathLst>
              <a:path w="50" h="29">
                <a:moveTo>
                  <a:pt x="50" y="0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5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2" name="Freeform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10323" y="9825"/>
            <a:ext cx="71" cy="61"/>
          </a:xfrm>
          <a:custGeom>
            <a:avLst/>
            <a:gdLst/>
            <a:ahLst/>
            <a:cxnLst>
              <a:cxn ang="0">
                <a:pos x="71" y="61"/>
              </a:cxn>
              <a:cxn ang="0">
                <a:pos x="71" y="61"/>
              </a:cxn>
              <a:cxn ang="0">
                <a:pos x="71" y="52"/>
              </a:cxn>
              <a:cxn ang="0">
                <a:pos x="71" y="46"/>
              </a:cxn>
              <a:cxn ang="0">
                <a:pos x="68" y="40"/>
              </a:cxn>
              <a:cxn ang="0">
                <a:pos x="65" y="35"/>
              </a:cxn>
              <a:cxn ang="0">
                <a:pos x="62" y="29"/>
              </a:cxn>
              <a:cxn ang="0">
                <a:pos x="59" y="23"/>
              </a:cxn>
              <a:cxn ang="0">
                <a:pos x="56" y="17"/>
              </a:cxn>
              <a:cxn ang="0">
                <a:pos x="50" y="15"/>
              </a:cxn>
              <a:cxn ang="0">
                <a:pos x="47" y="12"/>
              </a:cxn>
              <a:cxn ang="0">
                <a:pos x="39" y="9"/>
              </a:cxn>
              <a:cxn ang="0">
                <a:pos x="36" y="6"/>
              </a:cxn>
              <a:cxn ang="0">
                <a:pos x="30" y="3"/>
              </a:cxn>
              <a:cxn ang="0">
                <a:pos x="24" y="3"/>
              </a:cxn>
              <a:cxn ang="0">
                <a:pos x="15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  <a:cxn ang="0">
                <a:pos x="6" y="29"/>
              </a:cxn>
              <a:cxn ang="0">
                <a:pos x="12" y="29"/>
              </a:cxn>
              <a:cxn ang="0">
                <a:pos x="15" y="29"/>
              </a:cxn>
              <a:cxn ang="0">
                <a:pos x="21" y="29"/>
              </a:cxn>
              <a:cxn ang="0">
                <a:pos x="24" y="32"/>
              </a:cxn>
              <a:cxn ang="0">
                <a:pos x="30" y="32"/>
              </a:cxn>
              <a:cxn ang="0">
                <a:pos x="30" y="35"/>
              </a:cxn>
              <a:cxn ang="0">
                <a:pos x="33" y="35"/>
              </a:cxn>
              <a:cxn ang="0">
                <a:pos x="36" y="38"/>
              </a:cxn>
              <a:cxn ang="0">
                <a:pos x="39" y="40"/>
              </a:cxn>
              <a:cxn ang="0">
                <a:pos x="39" y="43"/>
              </a:cxn>
              <a:cxn ang="0">
                <a:pos x="41" y="46"/>
              </a:cxn>
              <a:cxn ang="0">
                <a:pos x="41" y="49"/>
              </a:cxn>
              <a:cxn ang="0">
                <a:pos x="41" y="49"/>
              </a:cxn>
              <a:cxn ang="0">
                <a:pos x="41" y="55"/>
              </a:cxn>
              <a:cxn ang="0">
                <a:pos x="41" y="61"/>
              </a:cxn>
              <a:cxn ang="0">
                <a:pos x="71" y="61"/>
              </a:cxn>
            </a:cxnLst>
            <a:rect l="0" t="0" r="r" b="b"/>
            <a:pathLst>
              <a:path w="71" h="61">
                <a:moveTo>
                  <a:pt x="71" y="61"/>
                </a:moveTo>
                <a:lnTo>
                  <a:pt x="71" y="61"/>
                </a:lnTo>
                <a:lnTo>
                  <a:pt x="71" y="52"/>
                </a:lnTo>
                <a:lnTo>
                  <a:pt x="71" y="46"/>
                </a:lnTo>
                <a:lnTo>
                  <a:pt x="68" y="40"/>
                </a:lnTo>
                <a:lnTo>
                  <a:pt x="65" y="35"/>
                </a:lnTo>
                <a:lnTo>
                  <a:pt x="62" y="29"/>
                </a:lnTo>
                <a:lnTo>
                  <a:pt x="59" y="23"/>
                </a:lnTo>
                <a:lnTo>
                  <a:pt x="56" y="17"/>
                </a:lnTo>
                <a:lnTo>
                  <a:pt x="50" y="15"/>
                </a:lnTo>
                <a:lnTo>
                  <a:pt x="47" y="12"/>
                </a:lnTo>
                <a:lnTo>
                  <a:pt x="39" y="9"/>
                </a:lnTo>
                <a:lnTo>
                  <a:pt x="36" y="6"/>
                </a:lnTo>
                <a:lnTo>
                  <a:pt x="30" y="3"/>
                </a:lnTo>
                <a:lnTo>
                  <a:pt x="24" y="3"/>
                </a:lnTo>
                <a:lnTo>
                  <a:pt x="15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lnTo>
                  <a:pt x="6" y="29"/>
                </a:lnTo>
                <a:lnTo>
                  <a:pt x="12" y="29"/>
                </a:lnTo>
                <a:lnTo>
                  <a:pt x="15" y="29"/>
                </a:lnTo>
                <a:lnTo>
                  <a:pt x="21" y="29"/>
                </a:lnTo>
                <a:lnTo>
                  <a:pt x="24" y="32"/>
                </a:lnTo>
                <a:lnTo>
                  <a:pt x="30" y="32"/>
                </a:lnTo>
                <a:lnTo>
                  <a:pt x="30" y="35"/>
                </a:lnTo>
                <a:lnTo>
                  <a:pt x="33" y="35"/>
                </a:lnTo>
                <a:lnTo>
                  <a:pt x="36" y="38"/>
                </a:lnTo>
                <a:lnTo>
                  <a:pt x="39" y="40"/>
                </a:lnTo>
                <a:lnTo>
                  <a:pt x="39" y="43"/>
                </a:lnTo>
                <a:lnTo>
                  <a:pt x="41" y="46"/>
                </a:lnTo>
                <a:lnTo>
                  <a:pt x="41" y="49"/>
                </a:lnTo>
                <a:lnTo>
                  <a:pt x="41" y="49"/>
                </a:lnTo>
                <a:lnTo>
                  <a:pt x="41" y="55"/>
                </a:lnTo>
                <a:lnTo>
                  <a:pt x="41" y="61"/>
                </a:lnTo>
                <a:lnTo>
                  <a:pt x="71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3" name="Freeform 92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/>
        </xdr:nvSpPr>
        <xdr:spPr>
          <a:xfrm>
            <a:off x="10362" y="9886"/>
            <a:ext cx="32" cy="28"/>
          </a:xfrm>
          <a:custGeom>
            <a:avLst/>
            <a:gdLst/>
            <a:ahLst/>
            <a:cxnLst>
              <a:cxn ang="0">
                <a:pos x="26" y="26"/>
              </a:cxn>
              <a:cxn ang="0">
                <a:pos x="26" y="28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8"/>
              </a:cxn>
              <a:cxn ang="0">
                <a:pos x="32" y="5"/>
              </a:cxn>
              <a:cxn ang="0">
                <a:pos x="32" y="2"/>
              </a:cxn>
              <a:cxn ang="0">
                <a:pos x="32" y="0"/>
              </a:cxn>
              <a:cxn ang="0">
                <a:pos x="2" y="0"/>
              </a:cxn>
              <a:cxn ang="0">
                <a:pos x="2" y="2"/>
              </a:cxn>
              <a:cxn ang="0">
                <a:pos x="2" y="5"/>
              </a:cxn>
              <a:cxn ang="0">
                <a:pos x="2" y="8"/>
              </a:cxn>
              <a:cxn ang="0">
                <a:pos x="2" y="8"/>
              </a:cxn>
              <a:cxn ang="0">
                <a:pos x="2" y="11"/>
              </a:cxn>
              <a:cxn ang="0">
                <a:pos x="2" y="14"/>
              </a:cxn>
              <a:cxn ang="0">
                <a:pos x="2" y="17"/>
              </a:cxn>
              <a:cxn ang="0">
                <a:pos x="0" y="20"/>
              </a:cxn>
              <a:cxn ang="0">
                <a:pos x="0" y="20"/>
              </a:cxn>
              <a:cxn ang="0">
                <a:pos x="26" y="26"/>
              </a:cxn>
            </a:cxnLst>
            <a:rect l="0" t="0" r="r" b="b"/>
            <a:pathLst>
              <a:path w="32" h="28">
                <a:moveTo>
                  <a:pt x="26" y="26"/>
                </a:moveTo>
                <a:lnTo>
                  <a:pt x="26" y="28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8"/>
                </a:lnTo>
                <a:lnTo>
                  <a:pt x="32" y="5"/>
                </a:lnTo>
                <a:lnTo>
                  <a:pt x="32" y="2"/>
                </a:lnTo>
                <a:lnTo>
                  <a:pt x="32" y="0"/>
                </a:lnTo>
                <a:lnTo>
                  <a:pt x="2" y="0"/>
                </a:lnTo>
                <a:lnTo>
                  <a:pt x="2" y="2"/>
                </a:lnTo>
                <a:lnTo>
                  <a:pt x="2" y="5"/>
                </a:lnTo>
                <a:lnTo>
                  <a:pt x="2" y="8"/>
                </a:lnTo>
                <a:lnTo>
                  <a:pt x="2" y="8"/>
                </a:lnTo>
                <a:lnTo>
                  <a:pt x="2" y="11"/>
                </a:lnTo>
                <a:lnTo>
                  <a:pt x="2" y="14"/>
                </a:lnTo>
                <a:lnTo>
                  <a:pt x="2" y="17"/>
                </a:lnTo>
                <a:lnTo>
                  <a:pt x="0" y="20"/>
                </a:lnTo>
                <a:lnTo>
                  <a:pt x="0" y="20"/>
                </a:lnTo>
                <a:lnTo>
                  <a:pt x="26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4" name="Freeform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/>
        </xdr:nvSpPr>
        <xdr:spPr>
          <a:xfrm>
            <a:off x="10353" y="9906"/>
            <a:ext cx="35" cy="34"/>
          </a:xfrm>
          <a:custGeom>
            <a:avLst/>
            <a:gdLst/>
            <a:ahLst/>
            <a:cxnLst>
              <a:cxn ang="0">
                <a:pos x="23" y="31"/>
              </a:cxn>
              <a:cxn ang="0">
                <a:pos x="23" y="34"/>
              </a:cxn>
              <a:cxn ang="0">
                <a:pos x="23" y="31"/>
              </a:cxn>
              <a:cxn ang="0">
                <a:pos x="26" y="29"/>
              </a:cxn>
              <a:cxn ang="0">
                <a:pos x="29" y="26"/>
              </a:cxn>
              <a:cxn ang="0">
                <a:pos x="32" y="20"/>
              </a:cxn>
              <a:cxn ang="0">
                <a:pos x="32" y="17"/>
              </a:cxn>
              <a:cxn ang="0">
                <a:pos x="32" y="14"/>
              </a:cxn>
              <a:cxn ang="0">
                <a:pos x="35" y="11"/>
              </a:cxn>
              <a:cxn ang="0">
                <a:pos x="35" y="8"/>
              </a:cxn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6" y="8"/>
              </a:cxn>
              <a:cxn ang="0">
                <a:pos x="6" y="8"/>
              </a:cxn>
              <a:cxn ang="0">
                <a:pos x="3" y="11"/>
              </a:cxn>
              <a:cxn ang="0">
                <a:pos x="3" y="11"/>
              </a:cxn>
              <a:cxn ang="0">
                <a:pos x="3" y="14"/>
              </a:cxn>
              <a:cxn ang="0">
                <a:pos x="0" y="17"/>
              </a:cxn>
              <a:cxn ang="0">
                <a:pos x="23" y="31"/>
              </a:cxn>
            </a:cxnLst>
            <a:rect l="0" t="0" r="r" b="b"/>
            <a:pathLst>
              <a:path w="35" h="34">
                <a:moveTo>
                  <a:pt x="23" y="31"/>
                </a:moveTo>
                <a:lnTo>
                  <a:pt x="23" y="34"/>
                </a:lnTo>
                <a:lnTo>
                  <a:pt x="23" y="31"/>
                </a:lnTo>
                <a:lnTo>
                  <a:pt x="26" y="29"/>
                </a:lnTo>
                <a:lnTo>
                  <a:pt x="29" y="26"/>
                </a:lnTo>
                <a:lnTo>
                  <a:pt x="32" y="20"/>
                </a:lnTo>
                <a:lnTo>
                  <a:pt x="32" y="17"/>
                </a:lnTo>
                <a:lnTo>
                  <a:pt x="32" y="14"/>
                </a:lnTo>
                <a:lnTo>
                  <a:pt x="35" y="11"/>
                </a:lnTo>
                <a:lnTo>
                  <a:pt x="35" y="8"/>
                </a:lnTo>
                <a:lnTo>
                  <a:pt x="9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6" y="8"/>
                </a:lnTo>
                <a:lnTo>
                  <a:pt x="6" y="8"/>
                </a:lnTo>
                <a:lnTo>
                  <a:pt x="3" y="11"/>
                </a:lnTo>
                <a:lnTo>
                  <a:pt x="3" y="11"/>
                </a:lnTo>
                <a:lnTo>
                  <a:pt x="3" y="14"/>
                </a:lnTo>
                <a:lnTo>
                  <a:pt x="0" y="17"/>
                </a:lnTo>
                <a:lnTo>
                  <a:pt x="23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5" name="Freeform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10326" y="9920"/>
            <a:ext cx="50" cy="38"/>
          </a:xfrm>
          <a:custGeom>
            <a:avLst/>
            <a:gdLst/>
            <a:ahLst/>
            <a:cxnLst>
              <a:cxn ang="0">
                <a:pos x="33" y="20"/>
              </a:cxn>
              <a:cxn ang="0">
                <a:pos x="24" y="38"/>
              </a:cxn>
              <a:cxn ang="0">
                <a:pos x="27" y="35"/>
              </a:cxn>
              <a:cxn ang="0">
                <a:pos x="30" y="35"/>
              </a:cxn>
              <a:cxn ang="0">
                <a:pos x="36" y="32"/>
              </a:cxn>
              <a:cxn ang="0">
                <a:pos x="38" y="29"/>
              </a:cxn>
              <a:cxn ang="0">
                <a:pos x="41" y="29"/>
              </a:cxn>
              <a:cxn ang="0">
                <a:pos x="41" y="26"/>
              </a:cxn>
              <a:cxn ang="0">
                <a:pos x="47" y="20"/>
              </a:cxn>
              <a:cxn ang="0">
                <a:pos x="50" y="17"/>
              </a:cxn>
              <a:cxn ang="0">
                <a:pos x="27" y="0"/>
              </a:cxn>
              <a:cxn ang="0">
                <a:pos x="27" y="3"/>
              </a:cxn>
              <a:cxn ang="0">
                <a:pos x="27" y="3"/>
              </a:cxn>
              <a:cxn ang="0">
                <a:pos x="24" y="6"/>
              </a:cxn>
              <a:cxn ang="0">
                <a:pos x="21" y="9"/>
              </a:cxn>
              <a:cxn ang="0">
                <a:pos x="18" y="9"/>
              </a:cxn>
              <a:cxn ang="0">
                <a:pos x="18" y="9"/>
              </a:cxn>
              <a:cxn ang="0">
                <a:pos x="15" y="12"/>
              </a:cxn>
              <a:cxn ang="0">
                <a:pos x="12" y="12"/>
              </a:cxn>
              <a:cxn ang="0">
                <a:pos x="6" y="29"/>
              </a:cxn>
              <a:cxn ang="0">
                <a:pos x="15" y="12"/>
              </a:cxn>
              <a:cxn ang="0">
                <a:pos x="0" y="15"/>
              </a:cxn>
              <a:cxn ang="0">
                <a:pos x="6" y="29"/>
              </a:cxn>
              <a:cxn ang="0">
                <a:pos x="33" y="20"/>
              </a:cxn>
            </a:cxnLst>
            <a:rect l="0" t="0" r="r" b="b"/>
            <a:pathLst>
              <a:path w="50" h="38">
                <a:moveTo>
                  <a:pt x="33" y="20"/>
                </a:moveTo>
                <a:lnTo>
                  <a:pt x="24" y="38"/>
                </a:lnTo>
                <a:lnTo>
                  <a:pt x="27" y="35"/>
                </a:lnTo>
                <a:lnTo>
                  <a:pt x="30" y="35"/>
                </a:lnTo>
                <a:lnTo>
                  <a:pt x="36" y="32"/>
                </a:lnTo>
                <a:lnTo>
                  <a:pt x="38" y="29"/>
                </a:lnTo>
                <a:lnTo>
                  <a:pt x="41" y="29"/>
                </a:lnTo>
                <a:lnTo>
                  <a:pt x="41" y="26"/>
                </a:lnTo>
                <a:lnTo>
                  <a:pt x="47" y="20"/>
                </a:lnTo>
                <a:lnTo>
                  <a:pt x="50" y="17"/>
                </a:lnTo>
                <a:lnTo>
                  <a:pt x="27" y="0"/>
                </a:lnTo>
                <a:lnTo>
                  <a:pt x="27" y="3"/>
                </a:lnTo>
                <a:lnTo>
                  <a:pt x="27" y="3"/>
                </a:lnTo>
                <a:lnTo>
                  <a:pt x="24" y="6"/>
                </a:lnTo>
                <a:lnTo>
                  <a:pt x="21" y="9"/>
                </a:lnTo>
                <a:lnTo>
                  <a:pt x="18" y="9"/>
                </a:lnTo>
                <a:lnTo>
                  <a:pt x="18" y="9"/>
                </a:lnTo>
                <a:lnTo>
                  <a:pt x="15" y="12"/>
                </a:lnTo>
                <a:lnTo>
                  <a:pt x="12" y="12"/>
                </a:lnTo>
                <a:lnTo>
                  <a:pt x="6" y="29"/>
                </a:lnTo>
                <a:lnTo>
                  <a:pt x="15" y="12"/>
                </a:lnTo>
                <a:lnTo>
                  <a:pt x="0" y="15"/>
                </a:lnTo>
                <a:lnTo>
                  <a:pt x="6" y="29"/>
                </a:lnTo>
                <a:lnTo>
                  <a:pt x="33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6" name="Freeform 95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/>
        </xdr:nvSpPr>
        <xdr:spPr>
          <a:xfrm>
            <a:off x="10332" y="9940"/>
            <a:ext cx="56" cy="92"/>
          </a:xfrm>
          <a:custGeom>
            <a:avLst/>
            <a:gdLst/>
            <a:ahLst/>
            <a:cxnLst>
              <a:cxn ang="0">
                <a:pos x="38" y="92"/>
              </a:cxn>
              <a:cxn ang="0">
                <a:pos x="50" y="75"/>
              </a:cxn>
              <a:cxn ang="0">
                <a:pos x="27" y="0"/>
              </a:cxn>
              <a:cxn ang="0">
                <a:pos x="0" y="9"/>
              </a:cxn>
              <a:cxn ang="0">
                <a:pos x="24" y="84"/>
              </a:cxn>
              <a:cxn ang="0">
                <a:pos x="38" y="64"/>
              </a:cxn>
              <a:cxn ang="0">
                <a:pos x="38" y="92"/>
              </a:cxn>
              <a:cxn ang="0">
                <a:pos x="56" y="92"/>
              </a:cxn>
              <a:cxn ang="0">
                <a:pos x="50" y="75"/>
              </a:cxn>
              <a:cxn ang="0">
                <a:pos x="38" y="92"/>
              </a:cxn>
            </a:cxnLst>
            <a:rect l="0" t="0" r="r" b="b"/>
            <a:pathLst>
              <a:path w="56" h="92">
                <a:moveTo>
                  <a:pt x="38" y="92"/>
                </a:moveTo>
                <a:lnTo>
                  <a:pt x="50" y="75"/>
                </a:lnTo>
                <a:lnTo>
                  <a:pt x="27" y="0"/>
                </a:lnTo>
                <a:lnTo>
                  <a:pt x="0" y="9"/>
                </a:lnTo>
                <a:lnTo>
                  <a:pt x="24" y="84"/>
                </a:lnTo>
                <a:lnTo>
                  <a:pt x="38" y="64"/>
                </a:lnTo>
                <a:lnTo>
                  <a:pt x="38" y="92"/>
                </a:lnTo>
                <a:lnTo>
                  <a:pt x="56" y="92"/>
                </a:lnTo>
                <a:lnTo>
                  <a:pt x="50" y="75"/>
                </a:lnTo>
                <a:lnTo>
                  <a:pt x="38" y="9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7" name="Freeform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/>
        </xdr:nvSpPr>
        <xdr:spPr>
          <a:xfrm>
            <a:off x="10303" y="10004"/>
            <a:ext cx="67" cy="2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4" y="28"/>
              </a:cxn>
              <a:cxn ang="0">
                <a:pos x="67" y="28"/>
              </a:cxn>
              <a:cxn ang="0">
                <a:pos x="67" y="0"/>
              </a:cxn>
              <a:cxn ang="0">
                <a:pos x="14" y="0"/>
              </a:cxn>
              <a:cxn ang="0">
                <a:pos x="29" y="11"/>
              </a:cxn>
              <a:cxn ang="0">
                <a:pos x="0" y="17"/>
              </a:cxn>
              <a:cxn ang="0">
                <a:pos x="3" y="28"/>
              </a:cxn>
              <a:cxn ang="0">
                <a:pos x="14" y="28"/>
              </a:cxn>
              <a:cxn ang="0">
                <a:pos x="0" y="17"/>
              </a:cxn>
            </a:cxnLst>
            <a:rect l="0" t="0" r="r" b="b"/>
            <a:pathLst>
              <a:path w="67" h="28">
                <a:moveTo>
                  <a:pt x="0" y="17"/>
                </a:moveTo>
                <a:lnTo>
                  <a:pt x="14" y="28"/>
                </a:lnTo>
                <a:lnTo>
                  <a:pt x="67" y="28"/>
                </a:lnTo>
                <a:lnTo>
                  <a:pt x="67" y="0"/>
                </a:lnTo>
                <a:lnTo>
                  <a:pt x="14" y="0"/>
                </a:lnTo>
                <a:lnTo>
                  <a:pt x="29" y="11"/>
                </a:lnTo>
                <a:lnTo>
                  <a:pt x="0" y="17"/>
                </a:lnTo>
                <a:lnTo>
                  <a:pt x="3" y="28"/>
                </a:lnTo>
                <a:lnTo>
                  <a:pt x="14" y="28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8" name="Freeform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10288" y="9868"/>
            <a:ext cx="44" cy="153"/>
          </a:xfrm>
          <a:custGeom>
            <a:avLst/>
            <a:gdLst/>
            <a:ahLst/>
            <a:cxnLst>
              <a:cxn ang="0">
                <a:pos x="29" y="78"/>
              </a:cxn>
              <a:cxn ang="0">
                <a:pos x="0" y="78"/>
              </a:cxn>
              <a:cxn ang="0">
                <a:pos x="18" y="153"/>
              </a:cxn>
              <a:cxn ang="0">
                <a:pos x="44" y="147"/>
              </a:cxn>
              <a:cxn ang="0">
                <a:pos x="29" y="72"/>
              </a:cxn>
              <a:cxn ang="0">
                <a:pos x="0" y="75"/>
              </a:cxn>
              <a:cxn ang="0">
                <a:pos x="29" y="72"/>
              </a:cxn>
              <a:cxn ang="0">
                <a:pos x="12" y="0"/>
              </a:cxn>
              <a:cxn ang="0">
                <a:pos x="0" y="75"/>
              </a:cxn>
              <a:cxn ang="0">
                <a:pos x="29" y="78"/>
              </a:cxn>
            </a:cxnLst>
            <a:rect l="0" t="0" r="r" b="b"/>
            <a:pathLst>
              <a:path w="44" h="153">
                <a:moveTo>
                  <a:pt x="29" y="78"/>
                </a:moveTo>
                <a:lnTo>
                  <a:pt x="0" y="78"/>
                </a:lnTo>
                <a:lnTo>
                  <a:pt x="18" y="153"/>
                </a:lnTo>
                <a:lnTo>
                  <a:pt x="44" y="147"/>
                </a:lnTo>
                <a:lnTo>
                  <a:pt x="29" y="72"/>
                </a:lnTo>
                <a:lnTo>
                  <a:pt x="0" y="75"/>
                </a:lnTo>
                <a:lnTo>
                  <a:pt x="29" y="72"/>
                </a:lnTo>
                <a:lnTo>
                  <a:pt x="12" y="0"/>
                </a:lnTo>
                <a:lnTo>
                  <a:pt x="0" y="75"/>
                </a:lnTo>
                <a:lnTo>
                  <a:pt x="29" y="7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9" name="Freeform 98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SpPr/>
        </xdr:nvSpPr>
        <xdr:spPr>
          <a:xfrm>
            <a:off x="10288" y="9868"/>
            <a:ext cx="29" cy="78"/>
          </a:xfrm>
          <a:custGeom>
            <a:avLst/>
            <a:gdLst/>
            <a:ahLst/>
            <a:cxnLst>
              <a:cxn ang="0">
                <a:pos x="29" y="78"/>
              </a:cxn>
              <a:cxn ang="0">
                <a:pos x="15" y="78"/>
              </a:cxn>
              <a:cxn ang="0">
                <a:pos x="0" y="75"/>
              </a:cxn>
              <a:cxn ang="0">
                <a:pos x="29" y="75"/>
              </a:cxn>
              <a:cxn ang="0">
                <a:pos x="12" y="0"/>
              </a:cxn>
              <a:cxn ang="0">
                <a:pos x="0" y="75"/>
              </a:cxn>
              <a:cxn ang="0">
                <a:pos x="29" y="78"/>
              </a:cxn>
            </a:cxnLst>
            <a:rect l="0" t="0" r="r" b="b"/>
            <a:pathLst>
              <a:path w="29" h="78">
                <a:moveTo>
                  <a:pt x="29" y="78"/>
                </a:moveTo>
                <a:lnTo>
                  <a:pt x="15" y="78"/>
                </a:lnTo>
                <a:lnTo>
                  <a:pt x="0" y="75"/>
                </a:lnTo>
                <a:lnTo>
                  <a:pt x="29" y="75"/>
                </a:lnTo>
                <a:lnTo>
                  <a:pt x="12" y="0"/>
                </a:lnTo>
                <a:lnTo>
                  <a:pt x="0" y="75"/>
                </a:lnTo>
                <a:lnTo>
                  <a:pt x="29" y="7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0" name="Freeform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/>
        </xdr:nvSpPr>
        <xdr:spPr>
          <a:xfrm>
            <a:off x="10276" y="9943"/>
            <a:ext cx="41" cy="89"/>
          </a:xfrm>
          <a:custGeom>
            <a:avLst/>
            <a:gdLst/>
            <a:ahLst/>
            <a:cxnLst>
              <a:cxn ang="0">
                <a:pos x="15" y="89"/>
              </a:cxn>
              <a:cxn ang="0">
                <a:pos x="30" y="78"/>
              </a:cxn>
              <a:cxn ang="0">
                <a:pos x="41" y="3"/>
              </a:cxn>
              <a:cxn ang="0">
                <a:pos x="12" y="0"/>
              </a:cxn>
              <a:cxn ang="0">
                <a:pos x="0" y="72"/>
              </a:cxn>
              <a:cxn ang="0">
                <a:pos x="15" y="61"/>
              </a:cxn>
              <a:cxn ang="0">
                <a:pos x="15" y="89"/>
              </a:cxn>
              <a:cxn ang="0">
                <a:pos x="27" y="89"/>
              </a:cxn>
              <a:cxn ang="0">
                <a:pos x="30" y="78"/>
              </a:cxn>
              <a:cxn ang="0">
                <a:pos x="15" y="89"/>
              </a:cxn>
            </a:cxnLst>
            <a:rect l="0" t="0" r="r" b="b"/>
            <a:pathLst>
              <a:path w="41" h="89">
                <a:moveTo>
                  <a:pt x="15" y="89"/>
                </a:moveTo>
                <a:lnTo>
                  <a:pt x="30" y="78"/>
                </a:lnTo>
                <a:lnTo>
                  <a:pt x="41" y="3"/>
                </a:lnTo>
                <a:lnTo>
                  <a:pt x="12" y="0"/>
                </a:lnTo>
                <a:lnTo>
                  <a:pt x="0" y="72"/>
                </a:lnTo>
                <a:lnTo>
                  <a:pt x="15" y="61"/>
                </a:lnTo>
                <a:lnTo>
                  <a:pt x="15" y="89"/>
                </a:lnTo>
                <a:lnTo>
                  <a:pt x="27" y="89"/>
                </a:lnTo>
                <a:lnTo>
                  <a:pt x="30" y="78"/>
                </a:lnTo>
                <a:lnTo>
                  <a:pt x="15" y="8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1" name="Freeform 100">
            <a:extLst>
              <a:ext uri="{FF2B5EF4-FFF2-40B4-BE49-F238E27FC236}">
                <a16:creationId xmlns:a16="http://schemas.microsoft.com/office/drawing/2014/main" id="{00000000-0008-0000-0100-000065000000}"/>
              </a:ext>
            </a:extLst>
          </xdr:cNvPr>
          <xdr:cNvSpPr/>
        </xdr:nvSpPr>
        <xdr:spPr>
          <a:xfrm>
            <a:off x="10229" y="10004"/>
            <a:ext cx="62" cy="28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30" y="17"/>
              </a:cxn>
              <a:cxn ang="0">
                <a:pos x="0" y="11"/>
              </a:cxn>
              <a:cxn ang="0">
                <a:pos x="0" y="28"/>
              </a:cxn>
              <a:cxn ang="0">
                <a:pos x="15" y="28"/>
              </a:cxn>
              <a:cxn ang="0">
                <a:pos x="0" y="11"/>
              </a:cxn>
            </a:cxnLst>
            <a:rect l="0" t="0" r="r" b="b"/>
            <a:pathLst>
              <a:path w="62" h="28">
                <a:moveTo>
                  <a:pt x="0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30" y="17"/>
                </a:lnTo>
                <a:lnTo>
                  <a:pt x="0" y="11"/>
                </a:lnTo>
                <a:lnTo>
                  <a:pt x="0" y="28"/>
                </a:lnTo>
                <a:lnTo>
                  <a:pt x="15" y="28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2" name="Freeform 101">
            <a:extLst>
              <a:ext uri="{FF2B5EF4-FFF2-40B4-BE49-F238E27FC236}">
                <a16:creationId xmlns:a16="http://schemas.microsoft.com/office/drawing/2014/main" id="{00000000-0008-0000-0100-000066000000}"/>
              </a:ext>
            </a:extLst>
          </xdr:cNvPr>
          <xdr:cNvSpPr/>
        </xdr:nvSpPr>
        <xdr:spPr>
          <a:xfrm>
            <a:off x="10306" y="9906"/>
            <a:ext cx="29" cy="29"/>
          </a:xfrm>
          <a:custGeom>
            <a:avLst/>
            <a:gdLst/>
            <a:ahLst/>
            <a:cxnLst>
              <a:cxn ang="0">
                <a:pos x="8" y="0"/>
              </a:cxn>
              <a:cxn ang="0">
                <a:pos x="8" y="0"/>
              </a:cxn>
              <a:cxn ang="0">
                <a:pos x="8" y="0"/>
              </a:cxn>
              <a:cxn ang="0">
                <a:pos x="5" y="3"/>
              </a:cxn>
              <a:cxn ang="0">
                <a:pos x="8" y="0"/>
              </a:cxn>
              <a:cxn ang="0">
                <a:pos x="5" y="3"/>
              </a:cxn>
              <a:cxn ang="0">
                <a:pos x="3" y="3"/>
              </a:cxn>
              <a:cxn ang="0">
                <a:pos x="3" y="3"/>
              </a:cxn>
              <a:cxn ang="0">
                <a:pos x="0" y="3"/>
              </a:cxn>
              <a:cxn ang="0">
                <a:pos x="0" y="29"/>
              </a:cxn>
              <a:cxn ang="0">
                <a:pos x="3" y="29"/>
              </a:cxn>
              <a:cxn ang="0">
                <a:pos x="8" y="29"/>
              </a:cxn>
              <a:cxn ang="0">
                <a:pos x="11" y="29"/>
              </a:cxn>
              <a:cxn ang="0">
                <a:pos x="14" y="29"/>
              </a:cxn>
              <a:cxn ang="0">
                <a:pos x="20" y="26"/>
              </a:cxn>
              <a:cxn ang="0">
                <a:pos x="23" y="23"/>
              </a:cxn>
              <a:cxn ang="0">
                <a:pos x="26" y="20"/>
              </a:cxn>
              <a:cxn ang="0">
                <a:pos x="29" y="17"/>
              </a:cxn>
              <a:cxn ang="0">
                <a:pos x="29" y="17"/>
              </a:cxn>
              <a:cxn ang="0">
                <a:pos x="8" y="0"/>
              </a:cxn>
            </a:cxnLst>
            <a:rect l="0" t="0" r="r" b="b"/>
            <a:pathLst>
              <a:path w="29" h="29">
                <a:moveTo>
                  <a:pt x="8" y="0"/>
                </a:moveTo>
                <a:lnTo>
                  <a:pt x="8" y="0"/>
                </a:lnTo>
                <a:lnTo>
                  <a:pt x="8" y="0"/>
                </a:lnTo>
                <a:lnTo>
                  <a:pt x="5" y="3"/>
                </a:lnTo>
                <a:lnTo>
                  <a:pt x="8" y="0"/>
                </a:lnTo>
                <a:lnTo>
                  <a:pt x="5" y="3"/>
                </a:lnTo>
                <a:lnTo>
                  <a:pt x="3" y="3"/>
                </a:lnTo>
                <a:lnTo>
                  <a:pt x="3" y="3"/>
                </a:lnTo>
                <a:lnTo>
                  <a:pt x="0" y="3"/>
                </a:lnTo>
                <a:lnTo>
                  <a:pt x="0" y="29"/>
                </a:lnTo>
                <a:lnTo>
                  <a:pt x="3" y="29"/>
                </a:lnTo>
                <a:lnTo>
                  <a:pt x="8" y="29"/>
                </a:lnTo>
                <a:lnTo>
                  <a:pt x="11" y="29"/>
                </a:lnTo>
                <a:lnTo>
                  <a:pt x="14" y="29"/>
                </a:lnTo>
                <a:lnTo>
                  <a:pt x="20" y="26"/>
                </a:lnTo>
                <a:lnTo>
                  <a:pt x="23" y="23"/>
                </a:lnTo>
                <a:lnTo>
                  <a:pt x="26" y="20"/>
                </a:lnTo>
                <a:lnTo>
                  <a:pt x="29" y="17"/>
                </a:lnTo>
                <a:lnTo>
                  <a:pt x="29" y="17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3" name="Freeform 102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SpPr/>
        </xdr:nvSpPr>
        <xdr:spPr>
          <a:xfrm>
            <a:off x="10314" y="9894"/>
            <a:ext cx="33" cy="29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3" y="6"/>
              </a:cxn>
              <a:cxn ang="0">
                <a:pos x="3" y="6"/>
              </a:cxn>
              <a:cxn ang="0">
                <a:pos x="3" y="6"/>
              </a:cxn>
              <a:cxn ang="0">
                <a:pos x="0" y="9"/>
              </a:cxn>
              <a:cxn ang="0">
                <a:pos x="0" y="12"/>
              </a:cxn>
              <a:cxn ang="0">
                <a:pos x="0" y="12"/>
              </a:cxn>
              <a:cxn ang="0">
                <a:pos x="21" y="29"/>
              </a:cxn>
              <a:cxn ang="0">
                <a:pos x="24" y="26"/>
              </a:cxn>
              <a:cxn ang="0">
                <a:pos x="27" y="23"/>
              </a:cxn>
              <a:cxn ang="0">
                <a:pos x="27" y="20"/>
              </a:cxn>
              <a:cxn ang="0">
                <a:pos x="30" y="15"/>
              </a:cxn>
              <a:cxn ang="0">
                <a:pos x="30" y="12"/>
              </a:cxn>
              <a:cxn ang="0">
                <a:pos x="30" y="6"/>
              </a:cxn>
              <a:cxn ang="0">
                <a:pos x="33" y="3"/>
              </a:cxn>
              <a:cxn ang="0">
                <a:pos x="33" y="0"/>
              </a:cxn>
              <a:cxn ang="0">
                <a:pos x="3" y="0"/>
              </a:cxn>
            </a:cxnLst>
            <a:rect l="0" t="0" r="r" b="b"/>
            <a:pathLst>
              <a:path w="33" h="29">
                <a:moveTo>
                  <a:pt x="3" y="0"/>
                </a:move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3" y="6"/>
                </a:lnTo>
                <a:lnTo>
                  <a:pt x="3" y="6"/>
                </a:lnTo>
                <a:lnTo>
                  <a:pt x="3" y="6"/>
                </a:lnTo>
                <a:lnTo>
                  <a:pt x="0" y="9"/>
                </a:lnTo>
                <a:lnTo>
                  <a:pt x="0" y="12"/>
                </a:lnTo>
                <a:lnTo>
                  <a:pt x="0" y="12"/>
                </a:lnTo>
                <a:lnTo>
                  <a:pt x="21" y="29"/>
                </a:lnTo>
                <a:lnTo>
                  <a:pt x="24" y="26"/>
                </a:lnTo>
                <a:lnTo>
                  <a:pt x="27" y="23"/>
                </a:lnTo>
                <a:lnTo>
                  <a:pt x="27" y="20"/>
                </a:lnTo>
                <a:lnTo>
                  <a:pt x="30" y="15"/>
                </a:lnTo>
                <a:lnTo>
                  <a:pt x="30" y="12"/>
                </a:lnTo>
                <a:lnTo>
                  <a:pt x="30" y="6"/>
                </a:lnTo>
                <a:lnTo>
                  <a:pt x="33" y="3"/>
                </a:lnTo>
                <a:lnTo>
                  <a:pt x="33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4" name="Freeform 103">
            <a:extLst>
              <a:ext uri="{FF2B5EF4-FFF2-40B4-BE49-F238E27FC236}">
                <a16:creationId xmlns:a16="http://schemas.microsoft.com/office/drawing/2014/main" id="{00000000-0008-0000-0100-000068000000}"/>
              </a:ext>
            </a:extLst>
          </xdr:cNvPr>
          <xdr:cNvSpPr/>
        </xdr:nvSpPr>
        <xdr:spPr>
          <a:xfrm>
            <a:off x="10300" y="9865"/>
            <a:ext cx="47" cy="29"/>
          </a:xfrm>
          <a:custGeom>
            <a:avLst/>
            <a:gdLst/>
            <a:ahLst/>
            <a:cxnLst>
              <a:cxn ang="0">
                <a:pos x="26" y="15"/>
              </a:cxn>
              <a:cxn ang="0">
                <a:pos x="11" y="26"/>
              </a:cxn>
              <a:cxn ang="0">
                <a:pos x="14" y="26"/>
              </a:cxn>
              <a:cxn ang="0">
                <a:pos x="17" y="29"/>
              </a:cxn>
              <a:cxn ang="0">
                <a:pos x="20" y="29"/>
              </a:cxn>
              <a:cxn ang="0">
                <a:pos x="17" y="29"/>
              </a:cxn>
              <a:cxn ang="0">
                <a:pos x="17" y="26"/>
              </a:cxn>
              <a:cxn ang="0">
                <a:pos x="17" y="29"/>
              </a:cxn>
              <a:cxn ang="0">
                <a:pos x="17" y="26"/>
              </a:cxn>
              <a:cxn ang="0">
                <a:pos x="17" y="29"/>
              </a:cxn>
              <a:cxn ang="0">
                <a:pos x="47" y="29"/>
              </a:cxn>
              <a:cxn ang="0">
                <a:pos x="44" y="23"/>
              </a:cxn>
              <a:cxn ang="0">
                <a:pos x="44" y="15"/>
              </a:cxn>
              <a:cxn ang="0">
                <a:pos x="41" y="12"/>
              </a:cxn>
              <a:cxn ang="0">
                <a:pos x="35" y="6"/>
              </a:cxn>
              <a:cxn ang="0">
                <a:pos x="29" y="3"/>
              </a:cxn>
              <a:cxn ang="0">
                <a:pos x="23" y="0"/>
              </a:cxn>
              <a:cxn ang="0">
                <a:pos x="17" y="0"/>
              </a:cxn>
              <a:cxn ang="0">
                <a:pos x="11" y="0"/>
              </a:cxn>
              <a:cxn ang="0">
                <a:pos x="0" y="12"/>
              </a:cxn>
              <a:cxn ang="0">
                <a:pos x="11" y="0"/>
              </a:cxn>
              <a:cxn ang="0">
                <a:pos x="0" y="0"/>
              </a:cxn>
              <a:cxn ang="0">
                <a:pos x="0" y="12"/>
              </a:cxn>
              <a:cxn ang="0">
                <a:pos x="26" y="15"/>
              </a:cxn>
            </a:cxnLst>
            <a:rect l="0" t="0" r="r" b="b"/>
            <a:pathLst>
              <a:path w="47" h="29">
                <a:moveTo>
                  <a:pt x="26" y="15"/>
                </a:moveTo>
                <a:lnTo>
                  <a:pt x="11" y="26"/>
                </a:lnTo>
                <a:lnTo>
                  <a:pt x="14" y="26"/>
                </a:lnTo>
                <a:lnTo>
                  <a:pt x="17" y="29"/>
                </a:lnTo>
                <a:lnTo>
                  <a:pt x="20" y="29"/>
                </a:lnTo>
                <a:lnTo>
                  <a:pt x="17" y="29"/>
                </a:lnTo>
                <a:lnTo>
                  <a:pt x="17" y="26"/>
                </a:lnTo>
                <a:lnTo>
                  <a:pt x="17" y="29"/>
                </a:lnTo>
                <a:lnTo>
                  <a:pt x="17" y="26"/>
                </a:lnTo>
                <a:lnTo>
                  <a:pt x="17" y="29"/>
                </a:lnTo>
                <a:lnTo>
                  <a:pt x="47" y="29"/>
                </a:lnTo>
                <a:lnTo>
                  <a:pt x="44" y="23"/>
                </a:lnTo>
                <a:lnTo>
                  <a:pt x="44" y="15"/>
                </a:lnTo>
                <a:lnTo>
                  <a:pt x="41" y="12"/>
                </a:lnTo>
                <a:lnTo>
                  <a:pt x="35" y="6"/>
                </a:lnTo>
                <a:lnTo>
                  <a:pt x="29" y="3"/>
                </a:lnTo>
                <a:lnTo>
                  <a:pt x="23" y="0"/>
                </a:lnTo>
                <a:lnTo>
                  <a:pt x="17" y="0"/>
                </a:lnTo>
                <a:lnTo>
                  <a:pt x="11" y="0"/>
                </a:lnTo>
                <a:lnTo>
                  <a:pt x="0" y="12"/>
                </a:lnTo>
                <a:lnTo>
                  <a:pt x="11" y="0"/>
                </a:lnTo>
                <a:lnTo>
                  <a:pt x="0" y="0"/>
                </a:lnTo>
                <a:lnTo>
                  <a:pt x="0" y="12"/>
                </a:lnTo>
                <a:lnTo>
                  <a:pt x="2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5" name="Freeform 104">
            <a:extLst>
              <a:ext uri="{FF2B5EF4-FFF2-40B4-BE49-F238E27FC236}">
                <a16:creationId xmlns:a16="http://schemas.microsoft.com/office/drawing/2014/main" id="{00000000-0008-0000-0100-000069000000}"/>
              </a:ext>
            </a:extLst>
          </xdr:cNvPr>
          <xdr:cNvSpPr/>
        </xdr:nvSpPr>
        <xdr:spPr>
          <a:xfrm>
            <a:off x="10291" y="9877"/>
            <a:ext cx="35" cy="58"/>
          </a:xfrm>
          <a:custGeom>
            <a:avLst/>
            <a:gdLst/>
            <a:ahLst/>
            <a:cxnLst>
              <a:cxn ang="0">
                <a:pos x="15" y="32"/>
              </a:cxn>
              <a:cxn ang="0">
                <a:pos x="29" y="46"/>
              </a:cxn>
              <a:cxn ang="0">
                <a:pos x="35" y="3"/>
              </a:cxn>
              <a:cxn ang="0">
                <a:pos x="9" y="0"/>
              </a:cxn>
              <a:cxn ang="0">
                <a:pos x="3" y="43"/>
              </a:cxn>
              <a:cxn ang="0">
                <a:pos x="15" y="58"/>
              </a:cxn>
              <a:cxn ang="0">
                <a:pos x="3" y="43"/>
              </a:cxn>
              <a:cxn ang="0">
                <a:pos x="0" y="58"/>
              </a:cxn>
              <a:cxn ang="0">
                <a:pos x="15" y="58"/>
              </a:cxn>
              <a:cxn ang="0">
                <a:pos x="15" y="32"/>
              </a:cxn>
            </a:cxnLst>
            <a:rect l="0" t="0" r="r" b="b"/>
            <a:pathLst>
              <a:path w="35" h="58">
                <a:moveTo>
                  <a:pt x="15" y="32"/>
                </a:moveTo>
                <a:lnTo>
                  <a:pt x="29" y="46"/>
                </a:lnTo>
                <a:lnTo>
                  <a:pt x="35" y="3"/>
                </a:lnTo>
                <a:lnTo>
                  <a:pt x="9" y="0"/>
                </a:lnTo>
                <a:lnTo>
                  <a:pt x="3" y="43"/>
                </a:lnTo>
                <a:lnTo>
                  <a:pt x="15" y="58"/>
                </a:lnTo>
                <a:lnTo>
                  <a:pt x="3" y="43"/>
                </a:lnTo>
                <a:lnTo>
                  <a:pt x="0" y="58"/>
                </a:lnTo>
                <a:lnTo>
                  <a:pt x="15" y="58"/>
                </a:lnTo>
                <a:lnTo>
                  <a:pt x="15" y="3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6" name="Freeform 105">
            <a:extLst>
              <a:ext uri="{FF2B5EF4-FFF2-40B4-BE49-F238E27FC236}">
                <a16:creationId xmlns:a16="http://schemas.microsoft.com/office/drawing/2014/main" id="{00000000-0008-0000-0100-00006A000000}"/>
              </a:ext>
            </a:extLst>
          </xdr:cNvPr>
          <xdr:cNvSpPr/>
        </xdr:nvSpPr>
        <xdr:spPr>
          <a:xfrm>
            <a:off x="10370" y="9952"/>
            <a:ext cx="33" cy="34"/>
          </a:xfrm>
          <a:custGeom>
            <a:avLst/>
            <a:gdLst/>
            <a:ahLst/>
            <a:cxnLst>
              <a:cxn ang="0">
                <a:pos x="30" y="8"/>
              </a:cxn>
              <a:cxn ang="0">
                <a:pos x="33" y="11"/>
              </a:cxn>
              <a:cxn ang="0">
                <a:pos x="33" y="8"/>
              </a:cxn>
              <a:cxn ang="0">
                <a:pos x="33" y="11"/>
              </a:cxn>
              <a:cxn ang="0">
                <a:pos x="30" y="8"/>
              </a:cxn>
              <a:cxn ang="0">
                <a:pos x="30" y="6"/>
              </a:cxn>
              <a:cxn ang="0">
                <a:pos x="27" y="6"/>
              </a:cxn>
              <a:cxn ang="0">
                <a:pos x="27" y="3"/>
              </a:cxn>
              <a:cxn ang="0">
                <a:pos x="24" y="0"/>
              </a:cxn>
              <a:cxn ang="0">
                <a:pos x="24" y="0"/>
              </a:cxn>
              <a:cxn ang="0">
                <a:pos x="0" y="11"/>
              </a:cxn>
              <a:cxn ang="0">
                <a:pos x="0" y="17"/>
              </a:cxn>
              <a:cxn ang="0">
                <a:pos x="3" y="17"/>
              </a:cxn>
              <a:cxn ang="0">
                <a:pos x="3" y="20"/>
              </a:cxn>
              <a:cxn ang="0">
                <a:pos x="6" y="23"/>
              </a:cxn>
              <a:cxn ang="0">
                <a:pos x="6" y="23"/>
              </a:cxn>
              <a:cxn ang="0">
                <a:pos x="9" y="26"/>
              </a:cxn>
              <a:cxn ang="0">
                <a:pos x="12" y="29"/>
              </a:cxn>
              <a:cxn ang="0">
                <a:pos x="12" y="32"/>
              </a:cxn>
              <a:cxn ang="0">
                <a:pos x="18" y="34"/>
              </a:cxn>
              <a:cxn ang="0">
                <a:pos x="30" y="8"/>
              </a:cxn>
            </a:cxnLst>
            <a:rect l="0" t="0" r="r" b="b"/>
            <a:pathLst>
              <a:path w="33" h="34">
                <a:moveTo>
                  <a:pt x="30" y="8"/>
                </a:moveTo>
                <a:lnTo>
                  <a:pt x="33" y="11"/>
                </a:lnTo>
                <a:lnTo>
                  <a:pt x="33" y="8"/>
                </a:lnTo>
                <a:lnTo>
                  <a:pt x="33" y="11"/>
                </a:lnTo>
                <a:lnTo>
                  <a:pt x="30" y="8"/>
                </a:lnTo>
                <a:lnTo>
                  <a:pt x="30" y="6"/>
                </a:lnTo>
                <a:lnTo>
                  <a:pt x="27" y="6"/>
                </a:lnTo>
                <a:lnTo>
                  <a:pt x="27" y="3"/>
                </a:lnTo>
                <a:lnTo>
                  <a:pt x="24" y="0"/>
                </a:lnTo>
                <a:lnTo>
                  <a:pt x="24" y="0"/>
                </a:lnTo>
                <a:lnTo>
                  <a:pt x="0" y="11"/>
                </a:lnTo>
                <a:lnTo>
                  <a:pt x="0" y="17"/>
                </a:lnTo>
                <a:lnTo>
                  <a:pt x="3" y="17"/>
                </a:lnTo>
                <a:lnTo>
                  <a:pt x="3" y="20"/>
                </a:lnTo>
                <a:lnTo>
                  <a:pt x="6" y="23"/>
                </a:lnTo>
                <a:lnTo>
                  <a:pt x="6" y="23"/>
                </a:lnTo>
                <a:lnTo>
                  <a:pt x="9" y="26"/>
                </a:lnTo>
                <a:lnTo>
                  <a:pt x="12" y="29"/>
                </a:lnTo>
                <a:lnTo>
                  <a:pt x="12" y="32"/>
                </a:lnTo>
                <a:lnTo>
                  <a:pt x="18" y="34"/>
                </a:lnTo>
                <a:lnTo>
                  <a:pt x="30" y="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7" name="Freeform 106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SpPr/>
        </xdr:nvSpPr>
        <xdr:spPr>
          <a:xfrm>
            <a:off x="10388" y="9960"/>
            <a:ext cx="21" cy="32"/>
          </a:xfrm>
          <a:custGeom>
            <a:avLst/>
            <a:gdLst/>
            <a:ahLst/>
            <a:cxnLst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18" y="3"/>
              </a:cxn>
              <a:cxn ang="0">
                <a:pos x="15" y="3"/>
              </a:cxn>
              <a:cxn ang="0">
                <a:pos x="15" y="0"/>
              </a:cxn>
              <a:cxn ang="0">
                <a:pos x="12" y="0"/>
              </a:cxn>
              <a:cxn ang="0">
                <a:pos x="12" y="0"/>
              </a:cxn>
              <a:cxn ang="0">
                <a:pos x="0" y="24"/>
              </a:cxn>
              <a:cxn ang="0">
                <a:pos x="3" y="26"/>
              </a:cxn>
              <a:cxn ang="0">
                <a:pos x="6" y="26"/>
              </a:cxn>
              <a:cxn ang="0">
                <a:pos x="6" y="29"/>
              </a:cxn>
              <a:cxn ang="0">
                <a:pos x="9" y="29"/>
              </a:cxn>
              <a:cxn ang="0">
                <a:pos x="12" y="29"/>
              </a:cxn>
              <a:cxn ang="0">
                <a:pos x="12" y="29"/>
              </a:cxn>
              <a:cxn ang="0">
                <a:pos x="21" y="32"/>
              </a:cxn>
              <a:cxn ang="0">
                <a:pos x="21" y="32"/>
              </a:cxn>
              <a:cxn ang="0">
                <a:pos x="21" y="3"/>
              </a:cxn>
            </a:cxnLst>
            <a:rect l="0" t="0" r="r" b="b"/>
            <a:pathLst>
              <a:path w="21" h="32">
                <a:moveTo>
                  <a:pt x="21" y="3"/>
                </a:moveTo>
                <a:lnTo>
                  <a:pt x="21" y="3"/>
                </a:lnTo>
                <a:lnTo>
                  <a:pt x="21" y="3"/>
                </a:lnTo>
                <a:lnTo>
                  <a:pt x="21" y="3"/>
                </a:lnTo>
                <a:lnTo>
                  <a:pt x="21" y="3"/>
                </a:lnTo>
                <a:lnTo>
                  <a:pt x="18" y="3"/>
                </a:lnTo>
                <a:lnTo>
                  <a:pt x="15" y="3"/>
                </a:lnTo>
                <a:lnTo>
                  <a:pt x="15" y="0"/>
                </a:lnTo>
                <a:lnTo>
                  <a:pt x="12" y="0"/>
                </a:lnTo>
                <a:lnTo>
                  <a:pt x="12" y="0"/>
                </a:lnTo>
                <a:lnTo>
                  <a:pt x="0" y="24"/>
                </a:lnTo>
                <a:lnTo>
                  <a:pt x="3" y="26"/>
                </a:lnTo>
                <a:lnTo>
                  <a:pt x="6" y="26"/>
                </a:lnTo>
                <a:lnTo>
                  <a:pt x="6" y="29"/>
                </a:lnTo>
                <a:lnTo>
                  <a:pt x="9" y="29"/>
                </a:lnTo>
                <a:lnTo>
                  <a:pt x="12" y="29"/>
                </a:lnTo>
                <a:lnTo>
                  <a:pt x="12" y="29"/>
                </a:lnTo>
                <a:lnTo>
                  <a:pt x="21" y="32"/>
                </a:lnTo>
                <a:lnTo>
                  <a:pt x="21" y="32"/>
                </a:lnTo>
                <a:lnTo>
                  <a:pt x="21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8" name="Freeform 107"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SpPr/>
        </xdr:nvSpPr>
        <xdr:spPr>
          <a:xfrm>
            <a:off x="10409" y="9960"/>
            <a:ext cx="29" cy="32"/>
          </a:xfrm>
          <a:custGeom>
            <a:avLst/>
            <a:gdLst/>
            <a:ahLst/>
            <a:cxnLst>
              <a:cxn ang="0">
                <a:pos x="3" y="6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" y="3"/>
              </a:cxn>
              <a:cxn ang="0">
                <a:pos x="3" y="3"/>
              </a:cxn>
              <a:cxn ang="0">
                <a:pos x="0" y="3"/>
              </a:cxn>
              <a:cxn ang="0">
                <a:pos x="0" y="3"/>
              </a:cxn>
              <a:cxn ang="0">
                <a:pos x="0" y="32"/>
              </a:cxn>
              <a:cxn ang="0">
                <a:pos x="5" y="32"/>
              </a:cxn>
              <a:cxn ang="0">
                <a:pos x="8" y="29"/>
              </a:cxn>
              <a:cxn ang="0">
                <a:pos x="14" y="29"/>
              </a:cxn>
              <a:cxn ang="0">
                <a:pos x="20" y="24"/>
              </a:cxn>
              <a:cxn ang="0">
                <a:pos x="23" y="24"/>
              </a:cxn>
              <a:cxn ang="0">
                <a:pos x="26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6"/>
              </a:cxn>
              <a:cxn ang="0">
                <a:pos x="3" y="6"/>
              </a:cxn>
            </a:cxnLst>
            <a:rect l="0" t="0" r="r" b="b"/>
            <a:pathLst>
              <a:path w="29" h="32">
                <a:moveTo>
                  <a:pt x="3" y="6"/>
                </a:move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" y="3"/>
                </a:lnTo>
                <a:lnTo>
                  <a:pt x="3" y="3"/>
                </a:lnTo>
                <a:lnTo>
                  <a:pt x="0" y="3"/>
                </a:lnTo>
                <a:lnTo>
                  <a:pt x="0" y="3"/>
                </a:lnTo>
                <a:lnTo>
                  <a:pt x="0" y="32"/>
                </a:lnTo>
                <a:lnTo>
                  <a:pt x="5" y="32"/>
                </a:lnTo>
                <a:lnTo>
                  <a:pt x="8" y="29"/>
                </a:lnTo>
                <a:lnTo>
                  <a:pt x="14" y="29"/>
                </a:lnTo>
                <a:lnTo>
                  <a:pt x="20" y="24"/>
                </a:lnTo>
                <a:lnTo>
                  <a:pt x="23" y="24"/>
                </a:lnTo>
                <a:lnTo>
                  <a:pt x="26" y="18"/>
                </a:lnTo>
                <a:lnTo>
                  <a:pt x="29" y="15"/>
                </a:lnTo>
                <a:lnTo>
                  <a:pt x="29" y="12"/>
                </a:lnTo>
                <a:lnTo>
                  <a:pt x="29" y="6"/>
                </a:lnTo>
                <a:lnTo>
                  <a:pt x="3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9" name="Freeform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10403" y="9937"/>
            <a:ext cx="35" cy="32"/>
          </a:xfrm>
          <a:custGeom>
            <a:avLst/>
            <a:gdLst/>
            <a:ahLst/>
            <a:cxnLst>
              <a:cxn ang="0">
                <a:pos x="3" y="21"/>
              </a:cxn>
              <a:cxn ang="0">
                <a:pos x="0" y="21"/>
              </a:cxn>
              <a:cxn ang="0">
                <a:pos x="3" y="23"/>
              </a:cxn>
              <a:cxn ang="0">
                <a:pos x="6" y="26"/>
              </a:cxn>
              <a:cxn ang="0">
                <a:pos x="6" y="26"/>
              </a:cxn>
              <a:cxn ang="0">
                <a:pos x="9" y="29"/>
              </a:cxn>
              <a:cxn ang="0">
                <a:pos x="9" y="32"/>
              </a:cxn>
              <a:cxn ang="0">
                <a:pos x="9" y="29"/>
              </a:cxn>
              <a:cxn ang="0">
                <a:pos x="9" y="29"/>
              </a:cxn>
              <a:cxn ang="0">
                <a:pos x="9" y="29"/>
              </a:cxn>
              <a:cxn ang="0">
                <a:pos x="35" y="29"/>
              </a:cxn>
              <a:cxn ang="0">
                <a:pos x="35" y="29"/>
              </a:cxn>
              <a:cxn ang="0">
                <a:pos x="35" y="21"/>
              </a:cxn>
              <a:cxn ang="0">
                <a:pos x="32" y="15"/>
              </a:cxn>
              <a:cxn ang="0">
                <a:pos x="32" y="15"/>
              </a:cxn>
              <a:cxn ang="0">
                <a:pos x="29" y="12"/>
              </a:cxn>
              <a:cxn ang="0">
                <a:pos x="26" y="9"/>
              </a:cxn>
              <a:cxn ang="0">
                <a:pos x="23" y="3"/>
              </a:cxn>
              <a:cxn ang="0">
                <a:pos x="20" y="0"/>
              </a:cxn>
              <a:cxn ang="0">
                <a:pos x="20" y="0"/>
              </a:cxn>
              <a:cxn ang="0">
                <a:pos x="3" y="21"/>
              </a:cxn>
            </a:cxnLst>
            <a:rect l="0" t="0" r="r" b="b"/>
            <a:pathLst>
              <a:path w="35" h="32">
                <a:moveTo>
                  <a:pt x="3" y="21"/>
                </a:moveTo>
                <a:lnTo>
                  <a:pt x="0" y="21"/>
                </a:lnTo>
                <a:lnTo>
                  <a:pt x="3" y="23"/>
                </a:lnTo>
                <a:lnTo>
                  <a:pt x="6" y="26"/>
                </a:lnTo>
                <a:lnTo>
                  <a:pt x="6" y="26"/>
                </a:lnTo>
                <a:lnTo>
                  <a:pt x="9" y="29"/>
                </a:lnTo>
                <a:lnTo>
                  <a:pt x="9" y="32"/>
                </a:lnTo>
                <a:lnTo>
                  <a:pt x="9" y="29"/>
                </a:lnTo>
                <a:lnTo>
                  <a:pt x="9" y="29"/>
                </a:lnTo>
                <a:lnTo>
                  <a:pt x="9" y="29"/>
                </a:lnTo>
                <a:lnTo>
                  <a:pt x="35" y="29"/>
                </a:lnTo>
                <a:lnTo>
                  <a:pt x="35" y="29"/>
                </a:lnTo>
                <a:lnTo>
                  <a:pt x="35" y="21"/>
                </a:lnTo>
                <a:lnTo>
                  <a:pt x="32" y="15"/>
                </a:lnTo>
                <a:lnTo>
                  <a:pt x="32" y="15"/>
                </a:lnTo>
                <a:lnTo>
                  <a:pt x="29" y="12"/>
                </a:lnTo>
                <a:lnTo>
                  <a:pt x="26" y="9"/>
                </a:lnTo>
                <a:lnTo>
                  <a:pt x="23" y="3"/>
                </a:lnTo>
                <a:lnTo>
                  <a:pt x="20" y="0"/>
                </a:lnTo>
                <a:lnTo>
                  <a:pt x="20" y="0"/>
                </a:lnTo>
                <a:lnTo>
                  <a:pt x="3" y="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0" name="Freeform 109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SpPr/>
        </xdr:nvSpPr>
        <xdr:spPr>
          <a:xfrm>
            <a:off x="10385" y="9920"/>
            <a:ext cx="38" cy="3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0" y="17"/>
              </a:cxn>
              <a:cxn ang="0">
                <a:pos x="0" y="17"/>
              </a:cxn>
              <a:cxn ang="0">
                <a:pos x="3" y="23"/>
              </a:cxn>
              <a:cxn ang="0">
                <a:pos x="6" y="23"/>
              </a:cxn>
              <a:cxn ang="0">
                <a:pos x="6" y="26"/>
              </a:cxn>
              <a:cxn ang="0">
                <a:pos x="9" y="29"/>
              </a:cxn>
              <a:cxn ang="0">
                <a:pos x="12" y="32"/>
              </a:cxn>
              <a:cxn ang="0">
                <a:pos x="15" y="35"/>
              </a:cxn>
              <a:cxn ang="0">
                <a:pos x="21" y="38"/>
              </a:cxn>
              <a:cxn ang="0">
                <a:pos x="38" y="17"/>
              </a:cxn>
              <a:cxn ang="0">
                <a:pos x="35" y="15"/>
              </a:cxn>
              <a:cxn ang="0">
                <a:pos x="32" y="12"/>
              </a:cxn>
              <a:cxn ang="0">
                <a:pos x="29" y="9"/>
              </a:cxn>
              <a:cxn ang="0">
                <a:pos x="29" y="9"/>
              </a:cxn>
              <a:cxn ang="0">
                <a:pos x="27" y="6"/>
              </a:cxn>
              <a:cxn ang="0">
                <a:pos x="24" y="3"/>
              </a:cxn>
              <a:cxn ang="0">
                <a:pos x="21" y="0"/>
              </a:cxn>
              <a:cxn ang="0">
                <a:pos x="24" y="0"/>
              </a:cxn>
              <a:cxn ang="0">
                <a:pos x="0" y="17"/>
              </a:cxn>
            </a:cxnLst>
            <a:rect l="0" t="0" r="r" b="b"/>
            <a:pathLst>
              <a:path w="38" h="38">
                <a:moveTo>
                  <a:pt x="0" y="17"/>
                </a:moveTo>
                <a:lnTo>
                  <a:pt x="0" y="17"/>
                </a:lnTo>
                <a:lnTo>
                  <a:pt x="0" y="17"/>
                </a:lnTo>
                <a:lnTo>
                  <a:pt x="3" y="23"/>
                </a:lnTo>
                <a:lnTo>
                  <a:pt x="6" y="23"/>
                </a:lnTo>
                <a:lnTo>
                  <a:pt x="6" y="26"/>
                </a:lnTo>
                <a:lnTo>
                  <a:pt x="9" y="29"/>
                </a:lnTo>
                <a:lnTo>
                  <a:pt x="12" y="32"/>
                </a:lnTo>
                <a:lnTo>
                  <a:pt x="15" y="35"/>
                </a:lnTo>
                <a:lnTo>
                  <a:pt x="21" y="38"/>
                </a:lnTo>
                <a:lnTo>
                  <a:pt x="38" y="17"/>
                </a:lnTo>
                <a:lnTo>
                  <a:pt x="35" y="15"/>
                </a:lnTo>
                <a:lnTo>
                  <a:pt x="32" y="12"/>
                </a:lnTo>
                <a:lnTo>
                  <a:pt x="29" y="9"/>
                </a:lnTo>
                <a:lnTo>
                  <a:pt x="29" y="9"/>
                </a:lnTo>
                <a:lnTo>
                  <a:pt x="27" y="6"/>
                </a:lnTo>
                <a:lnTo>
                  <a:pt x="24" y="3"/>
                </a:lnTo>
                <a:lnTo>
                  <a:pt x="21" y="0"/>
                </a:lnTo>
                <a:lnTo>
                  <a:pt x="24" y="0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1" name="Freeform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/>
        </xdr:nvSpPr>
        <xdr:spPr>
          <a:xfrm>
            <a:off x="10376" y="9906"/>
            <a:ext cx="33" cy="31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6"/>
              </a:cxn>
              <a:cxn ang="0">
                <a:pos x="0" y="11"/>
              </a:cxn>
              <a:cxn ang="0">
                <a:pos x="0" y="14"/>
              </a:cxn>
              <a:cxn ang="0">
                <a:pos x="3" y="17"/>
              </a:cxn>
              <a:cxn ang="0">
                <a:pos x="3" y="20"/>
              </a:cxn>
              <a:cxn ang="0">
                <a:pos x="6" y="26"/>
              </a:cxn>
              <a:cxn ang="0">
                <a:pos x="6" y="29"/>
              </a:cxn>
              <a:cxn ang="0">
                <a:pos x="9" y="31"/>
              </a:cxn>
              <a:cxn ang="0">
                <a:pos x="33" y="14"/>
              </a:cxn>
              <a:cxn ang="0">
                <a:pos x="30" y="14"/>
              </a:cxn>
              <a:cxn ang="0">
                <a:pos x="30" y="11"/>
              </a:cxn>
              <a:cxn ang="0">
                <a:pos x="30" y="11"/>
              </a:cxn>
              <a:cxn ang="0">
                <a:pos x="30" y="11"/>
              </a:cxn>
              <a:cxn ang="0">
                <a:pos x="30" y="8"/>
              </a:cxn>
              <a:cxn ang="0">
                <a:pos x="27" y="6"/>
              </a:cxn>
              <a:cxn ang="0">
                <a:pos x="27" y="6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33" h="31">
                <a:moveTo>
                  <a:pt x="0" y="0"/>
                </a:moveTo>
                <a:lnTo>
                  <a:pt x="0" y="0"/>
                </a:lnTo>
                <a:lnTo>
                  <a:pt x="0" y="6"/>
                </a:lnTo>
                <a:lnTo>
                  <a:pt x="0" y="11"/>
                </a:lnTo>
                <a:lnTo>
                  <a:pt x="0" y="14"/>
                </a:lnTo>
                <a:lnTo>
                  <a:pt x="3" y="17"/>
                </a:lnTo>
                <a:lnTo>
                  <a:pt x="3" y="20"/>
                </a:lnTo>
                <a:lnTo>
                  <a:pt x="6" y="26"/>
                </a:lnTo>
                <a:lnTo>
                  <a:pt x="6" y="29"/>
                </a:lnTo>
                <a:lnTo>
                  <a:pt x="9" y="31"/>
                </a:lnTo>
                <a:lnTo>
                  <a:pt x="33" y="14"/>
                </a:lnTo>
                <a:lnTo>
                  <a:pt x="30" y="14"/>
                </a:lnTo>
                <a:lnTo>
                  <a:pt x="30" y="11"/>
                </a:lnTo>
                <a:lnTo>
                  <a:pt x="30" y="11"/>
                </a:lnTo>
                <a:lnTo>
                  <a:pt x="30" y="11"/>
                </a:lnTo>
                <a:lnTo>
                  <a:pt x="30" y="8"/>
                </a:lnTo>
                <a:lnTo>
                  <a:pt x="27" y="6"/>
                </a:lnTo>
                <a:lnTo>
                  <a:pt x="27" y="6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2" name="Freeform 111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/>
        </xdr:nvSpPr>
        <xdr:spPr>
          <a:xfrm>
            <a:off x="10376" y="9900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0" y="6"/>
              </a:cxn>
              <a:cxn ang="0">
                <a:pos x="27" y="6"/>
              </a:cxn>
              <a:cxn ang="0">
                <a:pos x="27" y="6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27" y="3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0" y="6"/>
                </a:lnTo>
                <a:lnTo>
                  <a:pt x="27" y="6"/>
                </a:lnTo>
                <a:lnTo>
                  <a:pt x="27" y="6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27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3" name="Freeform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10376" y="9868"/>
            <a:ext cx="36" cy="35"/>
          </a:xfrm>
          <a:custGeom>
            <a:avLst/>
            <a:gdLst/>
            <a:ahLst/>
            <a:cxnLst>
              <a:cxn ang="0">
                <a:pos x="9" y="3"/>
              </a:cxn>
              <a:cxn ang="0">
                <a:pos x="9" y="0"/>
              </a:cxn>
              <a:cxn ang="0">
                <a:pos x="6" y="3"/>
              </a:cxn>
              <a:cxn ang="0">
                <a:pos x="6" y="9"/>
              </a:cxn>
              <a:cxn ang="0">
                <a:pos x="3" y="12"/>
              </a:cxn>
              <a:cxn ang="0">
                <a:pos x="3" y="18"/>
              </a:cxn>
              <a:cxn ang="0">
                <a:pos x="3" y="20"/>
              </a:cxn>
              <a:cxn ang="0">
                <a:pos x="0" y="23"/>
              </a:cxn>
              <a:cxn ang="0">
                <a:pos x="0" y="29"/>
              </a:cxn>
              <a:cxn ang="0">
                <a:pos x="0" y="32"/>
              </a:cxn>
              <a:cxn ang="0">
                <a:pos x="27" y="35"/>
              </a:cxn>
              <a:cxn ang="0">
                <a:pos x="27" y="32"/>
              </a:cxn>
              <a:cxn ang="0">
                <a:pos x="30" y="29"/>
              </a:cxn>
              <a:cxn ang="0">
                <a:pos x="30" y="26"/>
              </a:cxn>
              <a:cxn ang="0">
                <a:pos x="30" y="23"/>
              </a:cxn>
              <a:cxn ang="0">
                <a:pos x="30" y="20"/>
              </a:cxn>
              <a:cxn ang="0">
                <a:pos x="33" y="18"/>
              </a:cxn>
              <a:cxn ang="0">
                <a:pos x="33" y="15"/>
              </a:cxn>
              <a:cxn ang="0">
                <a:pos x="33" y="12"/>
              </a:cxn>
              <a:cxn ang="0">
                <a:pos x="36" y="9"/>
              </a:cxn>
              <a:cxn ang="0">
                <a:pos x="9" y="3"/>
              </a:cxn>
            </a:cxnLst>
            <a:rect l="0" t="0" r="r" b="b"/>
            <a:pathLst>
              <a:path w="36" h="35">
                <a:moveTo>
                  <a:pt x="9" y="3"/>
                </a:moveTo>
                <a:lnTo>
                  <a:pt x="9" y="0"/>
                </a:lnTo>
                <a:lnTo>
                  <a:pt x="6" y="3"/>
                </a:lnTo>
                <a:lnTo>
                  <a:pt x="6" y="9"/>
                </a:lnTo>
                <a:lnTo>
                  <a:pt x="3" y="12"/>
                </a:lnTo>
                <a:lnTo>
                  <a:pt x="3" y="18"/>
                </a:lnTo>
                <a:lnTo>
                  <a:pt x="3" y="20"/>
                </a:lnTo>
                <a:lnTo>
                  <a:pt x="0" y="23"/>
                </a:lnTo>
                <a:lnTo>
                  <a:pt x="0" y="29"/>
                </a:lnTo>
                <a:lnTo>
                  <a:pt x="0" y="32"/>
                </a:lnTo>
                <a:lnTo>
                  <a:pt x="27" y="35"/>
                </a:lnTo>
                <a:lnTo>
                  <a:pt x="27" y="32"/>
                </a:lnTo>
                <a:lnTo>
                  <a:pt x="30" y="29"/>
                </a:lnTo>
                <a:lnTo>
                  <a:pt x="30" y="26"/>
                </a:lnTo>
                <a:lnTo>
                  <a:pt x="30" y="23"/>
                </a:lnTo>
                <a:lnTo>
                  <a:pt x="30" y="20"/>
                </a:lnTo>
                <a:lnTo>
                  <a:pt x="33" y="18"/>
                </a:lnTo>
                <a:lnTo>
                  <a:pt x="33" y="15"/>
                </a:lnTo>
                <a:lnTo>
                  <a:pt x="33" y="12"/>
                </a:lnTo>
                <a:lnTo>
                  <a:pt x="36" y="9"/>
                </a:lnTo>
                <a:lnTo>
                  <a:pt x="9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4" name="Freeform 113">
            <a:extLst>
              <a:ext uri="{FF2B5EF4-FFF2-40B4-BE49-F238E27FC236}">
                <a16:creationId xmlns:a16="http://schemas.microsoft.com/office/drawing/2014/main" id="{00000000-0008-0000-0100-000072000000}"/>
              </a:ext>
            </a:extLst>
          </xdr:cNvPr>
          <xdr:cNvSpPr/>
        </xdr:nvSpPr>
        <xdr:spPr>
          <a:xfrm>
            <a:off x="10385" y="9842"/>
            <a:ext cx="35" cy="35"/>
          </a:xfrm>
          <a:custGeom>
            <a:avLst/>
            <a:gdLst/>
            <a:ahLst/>
            <a:cxnLst>
              <a:cxn ang="0">
                <a:pos x="18" y="0"/>
              </a:cxn>
              <a:cxn ang="0">
                <a:pos x="15" y="0"/>
              </a:cxn>
              <a:cxn ang="0">
                <a:pos x="15" y="3"/>
              </a:cxn>
              <a:cxn ang="0">
                <a:pos x="12" y="9"/>
              </a:cxn>
              <a:cxn ang="0">
                <a:pos x="9" y="9"/>
              </a:cxn>
              <a:cxn ang="0">
                <a:pos x="6" y="12"/>
              </a:cxn>
              <a:cxn ang="0">
                <a:pos x="6" y="15"/>
              </a:cxn>
              <a:cxn ang="0">
                <a:pos x="3" y="21"/>
              </a:cxn>
              <a:cxn ang="0">
                <a:pos x="0" y="23"/>
              </a:cxn>
              <a:cxn ang="0">
                <a:pos x="0" y="29"/>
              </a:cxn>
              <a:cxn ang="0">
                <a:pos x="27" y="35"/>
              </a:cxn>
              <a:cxn ang="0">
                <a:pos x="27" y="35"/>
              </a:cxn>
              <a:cxn ang="0">
                <a:pos x="27" y="32"/>
              </a:cxn>
              <a:cxn ang="0">
                <a:pos x="27" y="32"/>
              </a:cxn>
              <a:cxn ang="0">
                <a:pos x="29" y="29"/>
              </a:cxn>
              <a:cxn ang="0">
                <a:pos x="29" y="26"/>
              </a:cxn>
              <a:cxn ang="0">
                <a:pos x="32" y="23"/>
              </a:cxn>
              <a:cxn ang="0">
                <a:pos x="32" y="23"/>
              </a:cxn>
              <a:cxn ang="0">
                <a:pos x="35" y="21"/>
              </a:cxn>
              <a:cxn ang="0">
                <a:pos x="35" y="21"/>
              </a:cxn>
              <a:cxn ang="0">
                <a:pos x="18" y="0"/>
              </a:cxn>
            </a:cxnLst>
            <a:rect l="0" t="0" r="r" b="b"/>
            <a:pathLst>
              <a:path w="35" h="35">
                <a:moveTo>
                  <a:pt x="18" y="0"/>
                </a:moveTo>
                <a:lnTo>
                  <a:pt x="15" y="0"/>
                </a:lnTo>
                <a:lnTo>
                  <a:pt x="15" y="3"/>
                </a:lnTo>
                <a:lnTo>
                  <a:pt x="12" y="9"/>
                </a:lnTo>
                <a:lnTo>
                  <a:pt x="9" y="9"/>
                </a:lnTo>
                <a:lnTo>
                  <a:pt x="6" y="12"/>
                </a:lnTo>
                <a:lnTo>
                  <a:pt x="6" y="15"/>
                </a:lnTo>
                <a:lnTo>
                  <a:pt x="3" y="21"/>
                </a:lnTo>
                <a:lnTo>
                  <a:pt x="0" y="23"/>
                </a:lnTo>
                <a:lnTo>
                  <a:pt x="0" y="29"/>
                </a:lnTo>
                <a:lnTo>
                  <a:pt x="27" y="35"/>
                </a:lnTo>
                <a:lnTo>
                  <a:pt x="27" y="35"/>
                </a:lnTo>
                <a:lnTo>
                  <a:pt x="27" y="32"/>
                </a:lnTo>
                <a:lnTo>
                  <a:pt x="27" y="32"/>
                </a:lnTo>
                <a:lnTo>
                  <a:pt x="29" y="29"/>
                </a:lnTo>
                <a:lnTo>
                  <a:pt x="29" y="26"/>
                </a:lnTo>
                <a:lnTo>
                  <a:pt x="32" y="23"/>
                </a:lnTo>
                <a:lnTo>
                  <a:pt x="32" y="23"/>
                </a:lnTo>
                <a:lnTo>
                  <a:pt x="35" y="21"/>
                </a:lnTo>
                <a:lnTo>
                  <a:pt x="35" y="21"/>
                </a:lnTo>
                <a:lnTo>
                  <a:pt x="1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5" name="Freeform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/>
        </xdr:nvSpPr>
        <xdr:spPr>
          <a:xfrm>
            <a:off x="10403" y="9828"/>
            <a:ext cx="35" cy="35"/>
          </a:xfrm>
          <a:custGeom>
            <a:avLst/>
            <a:gdLst/>
            <a:ahLst/>
            <a:cxnLst>
              <a:cxn ang="0">
                <a:pos x="23" y="0"/>
              </a:cxn>
              <a:cxn ang="0">
                <a:pos x="23" y="0"/>
              </a:cxn>
              <a:cxn ang="0">
                <a:pos x="20" y="3"/>
              </a:cxn>
              <a:cxn ang="0">
                <a:pos x="17" y="3"/>
              </a:cxn>
              <a:cxn ang="0">
                <a:pos x="14" y="6"/>
              </a:cxn>
              <a:cxn ang="0">
                <a:pos x="11" y="6"/>
              </a:cxn>
              <a:cxn ang="0">
                <a:pos x="9" y="9"/>
              </a:cxn>
              <a:cxn ang="0">
                <a:pos x="6" y="12"/>
              </a:cxn>
              <a:cxn ang="0">
                <a:pos x="3" y="12"/>
              </a:cxn>
              <a:cxn ang="0">
                <a:pos x="0" y="14"/>
              </a:cxn>
              <a:cxn ang="0">
                <a:pos x="17" y="35"/>
              </a:cxn>
              <a:cxn ang="0">
                <a:pos x="20" y="35"/>
              </a:cxn>
              <a:cxn ang="0">
                <a:pos x="20" y="32"/>
              </a:cxn>
              <a:cxn ang="0">
                <a:pos x="23" y="32"/>
              </a:cxn>
              <a:cxn ang="0">
                <a:pos x="23" y="32"/>
              </a:cxn>
              <a:cxn ang="0">
                <a:pos x="26" y="29"/>
              </a:cxn>
              <a:cxn ang="0">
                <a:pos x="29" y="29"/>
              </a:cxn>
              <a:cxn ang="0">
                <a:pos x="32" y="26"/>
              </a:cxn>
              <a:cxn ang="0">
                <a:pos x="35" y="26"/>
              </a:cxn>
              <a:cxn ang="0">
                <a:pos x="35" y="26"/>
              </a:cxn>
              <a:cxn ang="0">
                <a:pos x="23" y="0"/>
              </a:cxn>
            </a:cxnLst>
            <a:rect l="0" t="0" r="r" b="b"/>
            <a:pathLst>
              <a:path w="35" h="35">
                <a:moveTo>
                  <a:pt x="23" y="0"/>
                </a:moveTo>
                <a:lnTo>
                  <a:pt x="23" y="0"/>
                </a:lnTo>
                <a:lnTo>
                  <a:pt x="20" y="3"/>
                </a:lnTo>
                <a:lnTo>
                  <a:pt x="17" y="3"/>
                </a:lnTo>
                <a:lnTo>
                  <a:pt x="14" y="6"/>
                </a:lnTo>
                <a:lnTo>
                  <a:pt x="11" y="6"/>
                </a:lnTo>
                <a:lnTo>
                  <a:pt x="9" y="9"/>
                </a:lnTo>
                <a:lnTo>
                  <a:pt x="6" y="12"/>
                </a:lnTo>
                <a:lnTo>
                  <a:pt x="3" y="12"/>
                </a:lnTo>
                <a:lnTo>
                  <a:pt x="0" y="14"/>
                </a:lnTo>
                <a:lnTo>
                  <a:pt x="17" y="35"/>
                </a:lnTo>
                <a:lnTo>
                  <a:pt x="20" y="35"/>
                </a:lnTo>
                <a:lnTo>
                  <a:pt x="20" y="32"/>
                </a:lnTo>
                <a:lnTo>
                  <a:pt x="23" y="32"/>
                </a:lnTo>
                <a:lnTo>
                  <a:pt x="23" y="32"/>
                </a:lnTo>
                <a:lnTo>
                  <a:pt x="26" y="29"/>
                </a:lnTo>
                <a:lnTo>
                  <a:pt x="29" y="29"/>
                </a:lnTo>
                <a:lnTo>
                  <a:pt x="32" y="26"/>
                </a:lnTo>
                <a:lnTo>
                  <a:pt x="35" y="26"/>
                </a:lnTo>
                <a:lnTo>
                  <a:pt x="35" y="26"/>
                </a:lnTo>
                <a:lnTo>
                  <a:pt x="2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6" name="Freeform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10426" y="9822"/>
            <a:ext cx="27" cy="32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27" y="0"/>
              </a:cxn>
              <a:cxn ang="0">
                <a:pos x="24" y="0"/>
              </a:cxn>
              <a:cxn ang="0">
                <a:pos x="18" y="0"/>
              </a:cxn>
              <a:cxn ang="0">
                <a:pos x="15" y="0"/>
              </a:cxn>
              <a:cxn ang="0">
                <a:pos x="12" y="0"/>
              </a:cxn>
              <a:cxn ang="0">
                <a:pos x="9" y="3"/>
              </a:cxn>
              <a:cxn ang="0">
                <a:pos x="6" y="3"/>
              </a:cxn>
              <a:cxn ang="0">
                <a:pos x="3" y="3"/>
              </a:cxn>
              <a:cxn ang="0">
                <a:pos x="0" y="6"/>
              </a:cxn>
              <a:cxn ang="0">
                <a:pos x="12" y="32"/>
              </a:cxn>
              <a:cxn ang="0">
                <a:pos x="12" y="32"/>
              </a:cxn>
              <a:cxn ang="0">
                <a:pos x="15" y="29"/>
              </a:cxn>
              <a:cxn ang="0">
                <a:pos x="18" y="29"/>
              </a:cxn>
              <a:cxn ang="0">
                <a:pos x="18" y="29"/>
              </a:cxn>
              <a:cxn ang="0">
                <a:pos x="21" y="26"/>
              </a:cxn>
              <a:cxn ang="0">
                <a:pos x="24" y="26"/>
              </a:cxn>
              <a:cxn ang="0">
                <a:pos x="24" y="26"/>
              </a:cxn>
              <a:cxn ang="0">
                <a:pos x="27" y="26"/>
              </a:cxn>
              <a:cxn ang="0">
                <a:pos x="27" y="0"/>
              </a:cxn>
            </a:cxnLst>
            <a:rect l="0" t="0" r="r" b="b"/>
            <a:pathLst>
              <a:path w="27" h="32">
                <a:moveTo>
                  <a:pt x="27" y="0"/>
                </a:moveTo>
                <a:lnTo>
                  <a:pt x="27" y="0"/>
                </a:lnTo>
                <a:lnTo>
                  <a:pt x="24" y="0"/>
                </a:lnTo>
                <a:lnTo>
                  <a:pt x="18" y="0"/>
                </a:lnTo>
                <a:lnTo>
                  <a:pt x="15" y="0"/>
                </a:lnTo>
                <a:lnTo>
                  <a:pt x="12" y="0"/>
                </a:lnTo>
                <a:lnTo>
                  <a:pt x="9" y="3"/>
                </a:lnTo>
                <a:lnTo>
                  <a:pt x="6" y="3"/>
                </a:lnTo>
                <a:lnTo>
                  <a:pt x="3" y="3"/>
                </a:lnTo>
                <a:lnTo>
                  <a:pt x="0" y="6"/>
                </a:lnTo>
                <a:lnTo>
                  <a:pt x="12" y="32"/>
                </a:lnTo>
                <a:lnTo>
                  <a:pt x="12" y="32"/>
                </a:lnTo>
                <a:lnTo>
                  <a:pt x="15" y="29"/>
                </a:lnTo>
                <a:lnTo>
                  <a:pt x="18" y="29"/>
                </a:lnTo>
                <a:lnTo>
                  <a:pt x="18" y="29"/>
                </a:lnTo>
                <a:lnTo>
                  <a:pt x="21" y="26"/>
                </a:lnTo>
                <a:lnTo>
                  <a:pt x="24" y="26"/>
                </a:lnTo>
                <a:lnTo>
                  <a:pt x="24" y="26"/>
                </a:lnTo>
                <a:lnTo>
                  <a:pt x="27" y="26"/>
                </a:lnTo>
                <a:lnTo>
                  <a:pt x="27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7" name="Freeform 116">
            <a:extLst>
              <a:ext uri="{FF2B5EF4-FFF2-40B4-BE49-F238E27FC236}">
                <a16:creationId xmlns:a16="http://schemas.microsoft.com/office/drawing/2014/main" id="{00000000-0008-0000-0100-000075000000}"/>
              </a:ext>
            </a:extLst>
          </xdr:cNvPr>
          <xdr:cNvSpPr/>
        </xdr:nvSpPr>
        <xdr:spPr>
          <a:xfrm>
            <a:off x="10453" y="9822"/>
            <a:ext cx="47" cy="35"/>
          </a:xfrm>
          <a:custGeom>
            <a:avLst/>
            <a:gdLst/>
            <a:ahLst/>
            <a:cxnLst>
              <a:cxn ang="0">
                <a:pos x="47" y="26"/>
              </a:cxn>
              <a:cxn ang="0">
                <a:pos x="41" y="12"/>
              </a:cxn>
              <a:cxn ang="0">
                <a:pos x="35" y="9"/>
              </a:cxn>
              <a:cxn ang="0">
                <a:pos x="29" y="6"/>
              </a:cxn>
              <a:cxn ang="0">
                <a:pos x="23" y="3"/>
              </a:cxn>
              <a:cxn ang="0">
                <a:pos x="20" y="3"/>
              </a:cxn>
              <a:cxn ang="0">
                <a:pos x="14" y="0"/>
              </a:cxn>
              <a:cxn ang="0">
                <a:pos x="9" y="0"/>
              </a:cxn>
              <a:cxn ang="0">
                <a:pos x="3" y="0"/>
              </a:cxn>
              <a:cxn ang="0">
                <a:pos x="0" y="0"/>
              </a:cxn>
              <a:cxn ang="0">
                <a:pos x="0" y="26"/>
              </a:cxn>
              <a:cxn ang="0">
                <a:pos x="3" y="26"/>
              </a:cxn>
              <a:cxn ang="0">
                <a:pos x="6" y="26"/>
              </a:cxn>
              <a:cxn ang="0">
                <a:pos x="9" y="29"/>
              </a:cxn>
              <a:cxn ang="0">
                <a:pos x="11" y="29"/>
              </a:cxn>
              <a:cxn ang="0">
                <a:pos x="14" y="29"/>
              </a:cxn>
              <a:cxn ang="0">
                <a:pos x="17" y="32"/>
              </a:cxn>
              <a:cxn ang="0">
                <a:pos x="20" y="32"/>
              </a:cxn>
              <a:cxn ang="0">
                <a:pos x="26" y="35"/>
              </a:cxn>
              <a:cxn ang="0">
                <a:pos x="20" y="20"/>
              </a:cxn>
              <a:cxn ang="0">
                <a:pos x="47" y="26"/>
              </a:cxn>
              <a:cxn ang="0">
                <a:pos x="47" y="15"/>
              </a:cxn>
              <a:cxn ang="0">
                <a:pos x="41" y="12"/>
              </a:cxn>
              <a:cxn ang="0">
                <a:pos x="47" y="26"/>
              </a:cxn>
            </a:cxnLst>
            <a:rect l="0" t="0" r="r" b="b"/>
            <a:pathLst>
              <a:path w="47" h="35">
                <a:moveTo>
                  <a:pt x="47" y="26"/>
                </a:moveTo>
                <a:lnTo>
                  <a:pt x="41" y="12"/>
                </a:lnTo>
                <a:lnTo>
                  <a:pt x="35" y="9"/>
                </a:lnTo>
                <a:lnTo>
                  <a:pt x="29" y="6"/>
                </a:lnTo>
                <a:lnTo>
                  <a:pt x="23" y="3"/>
                </a:lnTo>
                <a:lnTo>
                  <a:pt x="20" y="3"/>
                </a:lnTo>
                <a:lnTo>
                  <a:pt x="14" y="0"/>
                </a:lnTo>
                <a:lnTo>
                  <a:pt x="9" y="0"/>
                </a:lnTo>
                <a:lnTo>
                  <a:pt x="3" y="0"/>
                </a:lnTo>
                <a:lnTo>
                  <a:pt x="0" y="0"/>
                </a:lnTo>
                <a:lnTo>
                  <a:pt x="0" y="26"/>
                </a:lnTo>
                <a:lnTo>
                  <a:pt x="3" y="26"/>
                </a:lnTo>
                <a:lnTo>
                  <a:pt x="6" y="26"/>
                </a:lnTo>
                <a:lnTo>
                  <a:pt x="9" y="29"/>
                </a:lnTo>
                <a:lnTo>
                  <a:pt x="11" y="29"/>
                </a:lnTo>
                <a:lnTo>
                  <a:pt x="14" y="29"/>
                </a:lnTo>
                <a:lnTo>
                  <a:pt x="17" y="32"/>
                </a:lnTo>
                <a:lnTo>
                  <a:pt x="20" y="32"/>
                </a:lnTo>
                <a:lnTo>
                  <a:pt x="26" y="35"/>
                </a:lnTo>
                <a:lnTo>
                  <a:pt x="20" y="20"/>
                </a:lnTo>
                <a:lnTo>
                  <a:pt x="47" y="26"/>
                </a:lnTo>
                <a:lnTo>
                  <a:pt x="47" y="15"/>
                </a:lnTo>
                <a:lnTo>
                  <a:pt x="41" y="12"/>
                </a:lnTo>
                <a:lnTo>
                  <a:pt x="47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8" name="Freeform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/>
        </xdr:nvSpPr>
        <xdr:spPr>
          <a:xfrm>
            <a:off x="10464" y="9842"/>
            <a:ext cx="36" cy="93"/>
          </a:xfrm>
          <a:custGeom>
            <a:avLst/>
            <a:gdLst/>
            <a:ahLst/>
            <a:cxnLst>
              <a:cxn ang="0">
                <a:pos x="3" y="64"/>
              </a:cxn>
              <a:cxn ang="0">
                <a:pos x="27" y="58"/>
              </a:cxn>
              <a:cxn ang="0">
                <a:pos x="36" y="6"/>
              </a:cxn>
              <a:cxn ang="0">
                <a:pos x="9" y="0"/>
              </a:cxn>
              <a:cxn ang="0">
                <a:pos x="0" y="55"/>
              </a:cxn>
              <a:cxn ang="0">
                <a:pos x="24" y="49"/>
              </a:cxn>
              <a:cxn ang="0">
                <a:pos x="3" y="64"/>
              </a:cxn>
              <a:cxn ang="0">
                <a:pos x="21" y="93"/>
              </a:cxn>
              <a:cxn ang="0">
                <a:pos x="27" y="58"/>
              </a:cxn>
              <a:cxn ang="0">
                <a:pos x="3" y="64"/>
              </a:cxn>
            </a:cxnLst>
            <a:rect l="0" t="0" r="r" b="b"/>
            <a:pathLst>
              <a:path w="36" h="93">
                <a:moveTo>
                  <a:pt x="3" y="64"/>
                </a:moveTo>
                <a:lnTo>
                  <a:pt x="27" y="58"/>
                </a:lnTo>
                <a:lnTo>
                  <a:pt x="36" y="6"/>
                </a:lnTo>
                <a:lnTo>
                  <a:pt x="9" y="0"/>
                </a:lnTo>
                <a:lnTo>
                  <a:pt x="0" y="55"/>
                </a:lnTo>
                <a:lnTo>
                  <a:pt x="24" y="49"/>
                </a:lnTo>
                <a:lnTo>
                  <a:pt x="3" y="64"/>
                </a:lnTo>
                <a:lnTo>
                  <a:pt x="21" y="93"/>
                </a:lnTo>
                <a:lnTo>
                  <a:pt x="27" y="58"/>
                </a:lnTo>
                <a:lnTo>
                  <a:pt x="3" y="6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9" name="Freeform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10453" y="9868"/>
            <a:ext cx="35" cy="38"/>
          </a:xfrm>
          <a:custGeom>
            <a:avLst/>
            <a:gdLst/>
            <a:ahLst/>
            <a:cxnLst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3" y="29"/>
              </a:cxn>
              <a:cxn ang="0">
                <a:pos x="3" y="29"/>
              </a:cxn>
              <a:cxn ang="0">
                <a:pos x="6" y="29"/>
              </a:cxn>
              <a:cxn ang="0">
                <a:pos x="9" y="32"/>
              </a:cxn>
              <a:cxn ang="0">
                <a:pos x="11" y="35"/>
              </a:cxn>
              <a:cxn ang="0">
                <a:pos x="11" y="38"/>
              </a:cxn>
              <a:cxn ang="0">
                <a:pos x="35" y="23"/>
              </a:cxn>
              <a:cxn ang="0">
                <a:pos x="32" y="18"/>
              </a:cxn>
              <a:cxn ang="0">
                <a:pos x="29" y="15"/>
              </a:cxn>
              <a:cxn ang="0">
                <a:pos x="26" y="9"/>
              </a:cxn>
              <a:cxn ang="0">
                <a:pos x="20" y="6"/>
              </a:cxn>
              <a:cxn ang="0">
                <a:pos x="14" y="3"/>
              </a:cxn>
              <a:cxn ang="0">
                <a:pos x="11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</a:cxnLst>
            <a:rect l="0" t="0" r="r" b="b"/>
            <a:pathLst>
              <a:path w="35" h="38">
                <a:moveTo>
                  <a:pt x="0" y="26"/>
                </a:moveTo>
                <a:lnTo>
                  <a:pt x="0" y="26"/>
                </a:lnTo>
                <a:lnTo>
                  <a:pt x="0" y="26"/>
                </a:lnTo>
                <a:lnTo>
                  <a:pt x="0" y="26"/>
                </a:lnTo>
                <a:lnTo>
                  <a:pt x="3" y="29"/>
                </a:lnTo>
                <a:lnTo>
                  <a:pt x="3" y="29"/>
                </a:lnTo>
                <a:lnTo>
                  <a:pt x="6" y="29"/>
                </a:lnTo>
                <a:lnTo>
                  <a:pt x="9" y="32"/>
                </a:lnTo>
                <a:lnTo>
                  <a:pt x="11" y="35"/>
                </a:lnTo>
                <a:lnTo>
                  <a:pt x="11" y="38"/>
                </a:lnTo>
                <a:lnTo>
                  <a:pt x="35" y="23"/>
                </a:lnTo>
                <a:lnTo>
                  <a:pt x="32" y="18"/>
                </a:lnTo>
                <a:lnTo>
                  <a:pt x="29" y="15"/>
                </a:lnTo>
                <a:lnTo>
                  <a:pt x="26" y="9"/>
                </a:lnTo>
                <a:lnTo>
                  <a:pt x="20" y="6"/>
                </a:lnTo>
                <a:lnTo>
                  <a:pt x="14" y="3"/>
                </a:lnTo>
                <a:lnTo>
                  <a:pt x="11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0" name="Freeform 119">
            <a:extLst>
              <a:ext uri="{FF2B5EF4-FFF2-40B4-BE49-F238E27FC236}">
                <a16:creationId xmlns:a16="http://schemas.microsoft.com/office/drawing/2014/main" id="{00000000-0008-0000-0100-000078000000}"/>
              </a:ext>
            </a:extLst>
          </xdr:cNvPr>
          <xdr:cNvSpPr/>
        </xdr:nvSpPr>
        <xdr:spPr>
          <a:xfrm>
            <a:off x="10432" y="9868"/>
            <a:ext cx="21" cy="26"/>
          </a:xfrm>
          <a:custGeom>
            <a:avLst/>
            <a:gdLst/>
            <a:ahLst/>
            <a:cxnLst>
              <a:cxn ang="0">
                <a:pos x="21" y="26"/>
              </a:cxn>
              <a:cxn ang="0">
                <a:pos x="18" y="26"/>
              </a:cxn>
              <a:cxn ang="0">
                <a:pos x="18" y="26"/>
              </a:cxn>
              <a:cxn ang="0">
                <a:pos x="18" y="26"/>
              </a:cxn>
              <a:cxn ang="0">
                <a:pos x="21" y="26"/>
              </a:cxn>
              <a:cxn ang="0">
                <a:pos x="21" y="26"/>
              </a:cxn>
              <a:cxn ang="0">
                <a:pos x="21" y="0"/>
              </a:cxn>
              <a:cxn ang="0">
                <a:pos x="15" y="0"/>
              </a:cxn>
              <a:cxn ang="0">
                <a:pos x="12" y="0"/>
              </a:cxn>
              <a:cxn ang="0">
                <a:pos x="9" y="0"/>
              </a:cxn>
              <a:cxn ang="0">
                <a:pos x="3" y="3"/>
              </a:cxn>
              <a:cxn ang="0">
                <a:pos x="0" y="6"/>
              </a:cxn>
              <a:cxn ang="0">
                <a:pos x="21" y="26"/>
              </a:cxn>
            </a:cxnLst>
            <a:rect l="0" t="0" r="r" b="b"/>
            <a:pathLst>
              <a:path w="21" h="26">
                <a:moveTo>
                  <a:pt x="21" y="26"/>
                </a:moveTo>
                <a:lnTo>
                  <a:pt x="18" y="26"/>
                </a:lnTo>
                <a:lnTo>
                  <a:pt x="18" y="26"/>
                </a:lnTo>
                <a:lnTo>
                  <a:pt x="18" y="26"/>
                </a:lnTo>
                <a:lnTo>
                  <a:pt x="21" y="26"/>
                </a:lnTo>
                <a:lnTo>
                  <a:pt x="21" y="26"/>
                </a:lnTo>
                <a:lnTo>
                  <a:pt x="21" y="0"/>
                </a:lnTo>
                <a:lnTo>
                  <a:pt x="15" y="0"/>
                </a:lnTo>
                <a:lnTo>
                  <a:pt x="12" y="0"/>
                </a:lnTo>
                <a:lnTo>
                  <a:pt x="9" y="0"/>
                </a:lnTo>
                <a:lnTo>
                  <a:pt x="3" y="3"/>
                </a:lnTo>
                <a:lnTo>
                  <a:pt x="0" y="6"/>
                </a:lnTo>
                <a:lnTo>
                  <a:pt x="21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1" name="Freeform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/>
        </xdr:nvSpPr>
        <xdr:spPr>
          <a:xfrm>
            <a:off x="10423" y="9874"/>
            <a:ext cx="30" cy="23"/>
          </a:xfrm>
          <a:custGeom>
            <a:avLst/>
            <a:gdLst/>
            <a:ahLst/>
            <a:cxnLst>
              <a:cxn ang="0">
                <a:pos x="30" y="14"/>
              </a:cxn>
              <a:cxn ang="0">
                <a:pos x="27" y="20"/>
              </a:cxn>
              <a:cxn ang="0">
                <a:pos x="27" y="20"/>
              </a:cxn>
              <a:cxn ang="0">
                <a:pos x="27" y="23"/>
              </a:cxn>
              <a:cxn ang="0">
                <a:pos x="30" y="20"/>
              </a:cxn>
              <a:cxn ang="0">
                <a:pos x="30" y="20"/>
              </a:cxn>
              <a:cxn ang="0">
                <a:pos x="9" y="0"/>
              </a:cxn>
              <a:cxn ang="0">
                <a:pos x="9" y="0"/>
              </a:cxn>
              <a:cxn ang="0">
                <a:pos x="6" y="3"/>
              </a:cxn>
              <a:cxn ang="0">
                <a:pos x="3" y="6"/>
              </a:cxn>
              <a:cxn ang="0">
                <a:pos x="3" y="9"/>
              </a:cxn>
              <a:cxn ang="0">
                <a:pos x="0" y="14"/>
              </a:cxn>
              <a:cxn ang="0">
                <a:pos x="3" y="9"/>
              </a:cxn>
              <a:cxn ang="0">
                <a:pos x="0" y="12"/>
              </a:cxn>
              <a:cxn ang="0">
                <a:pos x="0" y="14"/>
              </a:cxn>
              <a:cxn ang="0">
                <a:pos x="30" y="14"/>
              </a:cxn>
            </a:cxnLst>
            <a:rect l="0" t="0" r="r" b="b"/>
            <a:pathLst>
              <a:path w="30" h="23">
                <a:moveTo>
                  <a:pt x="30" y="14"/>
                </a:moveTo>
                <a:lnTo>
                  <a:pt x="27" y="20"/>
                </a:lnTo>
                <a:lnTo>
                  <a:pt x="27" y="20"/>
                </a:lnTo>
                <a:lnTo>
                  <a:pt x="27" y="23"/>
                </a:lnTo>
                <a:lnTo>
                  <a:pt x="30" y="20"/>
                </a:lnTo>
                <a:lnTo>
                  <a:pt x="30" y="20"/>
                </a:lnTo>
                <a:lnTo>
                  <a:pt x="9" y="0"/>
                </a:lnTo>
                <a:lnTo>
                  <a:pt x="9" y="0"/>
                </a:lnTo>
                <a:lnTo>
                  <a:pt x="6" y="3"/>
                </a:lnTo>
                <a:lnTo>
                  <a:pt x="3" y="6"/>
                </a:lnTo>
                <a:lnTo>
                  <a:pt x="3" y="9"/>
                </a:lnTo>
                <a:lnTo>
                  <a:pt x="0" y="14"/>
                </a:lnTo>
                <a:lnTo>
                  <a:pt x="3" y="9"/>
                </a:lnTo>
                <a:lnTo>
                  <a:pt x="0" y="12"/>
                </a:lnTo>
                <a:lnTo>
                  <a:pt x="0" y="14"/>
                </a:lnTo>
                <a:lnTo>
                  <a:pt x="3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2" name="Freeform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10423" y="9888"/>
            <a:ext cx="30" cy="6"/>
          </a:xfrm>
          <a:custGeom>
            <a:avLst/>
            <a:gdLst/>
            <a:ahLst/>
            <a:cxnLst>
              <a:cxn ang="0">
                <a:pos x="3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</a:cxnLst>
            <a:rect l="0" t="0" r="r" b="b"/>
            <a:pathLst>
              <a:path w="30" h="6">
                <a:moveTo>
                  <a:pt x="30" y="6"/>
                </a:move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3" name="Freeform 122">
            <a:extLst>
              <a:ext uri="{FF2B5EF4-FFF2-40B4-BE49-F238E27FC236}">
                <a16:creationId xmlns:a16="http://schemas.microsoft.com/office/drawing/2014/main" id="{00000000-0008-0000-0100-00007B000000}"/>
              </a:ext>
            </a:extLst>
          </xdr:cNvPr>
          <xdr:cNvSpPr/>
        </xdr:nvSpPr>
        <xdr:spPr>
          <a:xfrm>
            <a:off x="10423" y="9888"/>
            <a:ext cx="30" cy="26"/>
          </a:xfrm>
          <a:custGeom>
            <a:avLst/>
            <a:gdLst/>
            <a:ahLst/>
            <a:cxnLst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27" y="0"/>
              </a:cxn>
              <a:cxn ang="0">
                <a:pos x="30" y="6"/>
              </a:cxn>
              <a:cxn ang="0">
                <a:pos x="30" y="6"/>
              </a:cxn>
              <a:cxn ang="0">
                <a:pos x="0" y="6"/>
              </a:cxn>
              <a:cxn ang="0">
                <a:pos x="0" y="6"/>
              </a:cxn>
              <a:cxn ang="0">
                <a:pos x="3" y="15"/>
              </a:cxn>
              <a:cxn ang="0">
                <a:pos x="3" y="15"/>
              </a:cxn>
              <a:cxn ang="0">
                <a:pos x="3" y="18"/>
              </a:cxn>
              <a:cxn ang="0">
                <a:pos x="6" y="18"/>
              </a:cxn>
              <a:cxn ang="0">
                <a:pos x="9" y="24"/>
              </a:cxn>
              <a:cxn ang="0">
                <a:pos x="9" y="24"/>
              </a:cxn>
              <a:cxn ang="0">
                <a:pos x="12" y="26"/>
              </a:cxn>
              <a:cxn ang="0">
                <a:pos x="12" y="26"/>
              </a:cxn>
              <a:cxn ang="0">
                <a:pos x="30" y="6"/>
              </a:cxn>
            </a:cxnLst>
            <a:rect l="0" t="0" r="r" b="b"/>
            <a:pathLst>
              <a:path w="30" h="26">
                <a:moveTo>
                  <a:pt x="30" y="6"/>
                </a:move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27" y="0"/>
                </a:lnTo>
                <a:lnTo>
                  <a:pt x="30" y="6"/>
                </a:lnTo>
                <a:lnTo>
                  <a:pt x="30" y="6"/>
                </a:lnTo>
                <a:lnTo>
                  <a:pt x="0" y="6"/>
                </a:lnTo>
                <a:lnTo>
                  <a:pt x="0" y="6"/>
                </a:lnTo>
                <a:lnTo>
                  <a:pt x="3" y="15"/>
                </a:lnTo>
                <a:lnTo>
                  <a:pt x="3" y="15"/>
                </a:lnTo>
                <a:lnTo>
                  <a:pt x="3" y="18"/>
                </a:lnTo>
                <a:lnTo>
                  <a:pt x="6" y="18"/>
                </a:lnTo>
                <a:lnTo>
                  <a:pt x="9" y="24"/>
                </a:lnTo>
                <a:lnTo>
                  <a:pt x="9" y="24"/>
                </a:lnTo>
                <a:lnTo>
                  <a:pt x="12" y="26"/>
                </a:lnTo>
                <a:lnTo>
                  <a:pt x="12" y="26"/>
                </a:lnTo>
                <a:lnTo>
                  <a:pt x="30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4" name="Freeform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/>
        </xdr:nvSpPr>
        <xdr:spPr>
          <a:xfrm>
            <a:off x="10435" y="9891"/>
            <a:ext cx="32" cy="35"/>
          </a:xfrm>
          <a:custGeom>
            <a:avLst/>
            <a:gdLst/>
            <a:ahLst/>
            <a:cxnLst>
              <a:cxn ang="0">
                <a:pos x="32" y="15"/>
              </a:cxn>
              <a:cxn ang="0">
                <a:pos x="32" y="15"/>
              </a:cxn>
              <a:cxn ang="0">
                <a:pos x="29" y="12"/>
              </a:cxn>
              <a:cxn ang="0">
                <a:pos x="29" y="12"/>
              </a:cxn>
              <a:cxn ang="0">
                <a:pos x="27" y="9"/>
              </a:cxn>
              <a:cxn ang="0">
                <a:pos x="24" y="9"/>
              </a:cxn>
              <a:cxn ang="0">
                <a:pos x="24" y="6"/>
              </a:cxn>
              <a:cxn ang="0">
                <a:pos x="21" y="6"/>
              </a:cxn>
              <a:cxn ang="0">
                <a:pos x="21" y="3"/>
              </a:cxn>
              <a:cxn ang="0">
                <a:pos x="18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6"/>
              </a:cxn>
              <a:cxn ang="0">
                <a:pos x="6" y="29"/>
              </a:cxn>
              <a:cxn ang="0">
                <a:pos x="9" y="32"/>
              </a:cxn>
              <a:cxn ang="0">
                <a:pos x="9" y="32"/>
              </a:cxn>
              <a:cxn ang="0">
                <a:pos x="12" y="35"/>
              </a:cxn>
              <a:cxn ang="0">
                <a:pos x="12" y="35"/>
              </a:cxn>
              <a:cxn ang="0">
                <a:pos x="32" y="15"/>
              </a:cxn>
            </a:cxnLst>
            <a:rect l="0" t="0" r="r" b="b"/>
            <a:pathLst>
              <a:path w="32" h="35">
                <a:moveTo>
                  <a:pt x="32" y="15"/>
                </a:moveTo>
                <a:lnTo>
                  <a:pt x="32" y="15"/>
                </a:lnTo>
                <a:lnTo>
                  <a:pt x="29" y="12"/>
                </a:lnTo>
                <a:lnTo>
                  <a:pt x="29" y="12"/>
                </a:lnTo>
                <a:lnTo>
                  <a:pt x="27" y="9"/>
                </a:lnTo>
                <a:lnTo>
                  <a:pt x="24" y="9"/>
                </a:lnTo>
                <a:lnTo>
                  <a:pt x="24" y="6"/>
                </a:lnTo>
                <a:lnTo>
                  <a:pt x="21" y="6"/>
                </a:lnTo>
                <a:lnTo>
                  <a:pt x="21" y="3"/>
                </a:lnTo>
                <a:lnTo>
                  <a:pt x="18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6"/>
                </a:lnTo>
                <a:lnTo>
                  <a:pt x="6" y="29"/>
                </a:lnTo>
                <a:lnTo>
                  <a:pt x="9" y="32"/>
                </a:lnTo>
                <a:lnTo>
                  <a:pt x="9" y="32"/>
                </a:lnTo>
                <a:lnTo>
                  <a:pt x="12" y="35"/>
                </a:lnTo>
                <a:lnTo>
                  <a:pt x="12" y="35"/>
                </a:lnTo>
                <a:lnTo>
                  <a:pt x="3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5" name="Freeform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10447" y="9906"/>
            <a:ext cx="35" cy="31"/>
          </a:xfrm>
          <a:custGeom>
            <a:avLst/>
            <a:gdLst/>
            <a:ahLst/>
            <a:cxnLst>
              <a:cxn ang="0">
                <a:pos x="32" y="17"/>
              </a:cxn>
              <a:cxn ang="0">
                <a:pos x="35" y="17"/>
              </a:cxn>
              <a:cxn ang="0">
                <a:pos x="32" y="14"/>
              </a:cxn>
              <a:cxn ang="0">
                <a:pos x="29" y="11"/>
              </a:cxn>
              <a:cxn ang="0">
                <a:pos x="29" y="11"/>
              </a:cxn>
              <a:cxn ang="0">
                <a:pos x="26" y="8"/>
              </a:cxn>
              <a:cxn ang="0">
                <a:pos x="26" y="6"/>
              </a:cxn>
              <a:cxn ang="0">
                <a:pos x="23" y="3"/>
              </a:cxn>
              <a:cxn ang="0">
                <a:pos x="20" y="3"/>
              </a:cxn>
              <a:cxn ang="0">
                <a:pos x="20" y="0"/>
              </a:cxn>
              <a:cxn ang="0">
                <a:pos x="0" y="20"/>
              </a:cxn>
              <a:cxn ang="0">
                <a:pos x="0" y="20"/>
              </a:cxn>
              <a:cxn ang="0">
                <a:pos x="3" y="23"/>
              </a:cxn>
              <a:cxn ang="0">
                <a:pos x="3" y="23"/>
              </a:cxn>
              <a:cxn ang="0">
                <a:pos x="6" y="23"/>
              </a:cxn>
              <a:cxn ang="0">
                <a:pos x="6" y="26"/>
              </a:cxn>
              <a:cxn ang="0">
                <a:pos x="9" y="29"/>
              </a:cxn>
              <a:cxn ang="0">
                <a:pos x="9" y="29"/>
              </a:cxn>
              <a:cxn ang="0">
                <a:pos x="9" y="29"/>
              </a:cxn>
              <a:cxn ang="0">
                <a:pos x="9" y="31"/>
              </a:cxn>
              <a:cxn ang="0">
                <a:pos x="32" y="17"/>
              </a:cxn>
            </a:cxnLst>
            <a:rect l="0" t="0" r="r" b="b"/>
            <a:pathLst>
              <a:path w="35" h="31">
                <a:moveTo>
                  <a:pt x="32" y="17"/>
                </a:moveTo>
                <a:lnTo>
                  <a:pt x="35" y="17"/>
                </a:lnTo>
                <a:lnTo>
                  <a:pt x="32" y="14"/>
                </a:lnTo>
                <a:lnTo>
                  <a:pt x="29" y="11"/>
                </a:lnTo>
                <a:lnTo>
                  <a:pt x="29" y="11"/>
                </a:lnTo>
                <a:lnTo>
                  <a:pt x="26" y="8"/>
                </a:lnTo>
                <a:lnTo>
                  <a:pt x="26" y="6"/>
                </a:lnTo>
                <a:lnTo>
                  <a:pt x="23" y="3"/>
                </a:lnTo>
                <a:lnTo>
                  <a:pt x="20" y="3"/>
                </a:lnTo>
                <a:lnTo>
                  <a:pt x="20" y="0"/>
                </a:lnTo>
                <a:lnTo>
                  <a:pt x="0" y="20"/>
                </a:lnTo>
                <a:lnTo>
                  <a:pt x="0" y="20"/>
                </a:lnTo>
                <a:lnTo>
                  <a:pt x="3" y="23"/>
                </a:lnTo>
                <a:lnTo>
                  <a:pt x="3" y="23"/>
                </a:lnTo>
                <a:lnTo>
                  <a:pt x="6" y="23"/>
                </a:lnTo>
                <a:lnTo>
                  <a:pt x="6" y="26"/>
                </a:lnTo>
                <a:lnTo>
                  <a:pt x="9" y="29"/>
                </a:lnTo>
                <a:lnTo>
                  <a:pt x="9" y="29"/>
                </a:lnTo>
                <a:lnTo>
                  <a:pt x="9" y="29"/>
                </a:lnTo>
                <a:lnTo>
                  <a:pt x="9" y="31"/>
                </a:lnTo>
                <a:lnTo>
                  <a:pt x="32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6" name="Freeform 125">
            <a:extLst>
              <a:ext uri="{FF2B5EF4-FFF2-40B4-BE49-F238E27FC236}">
                <a16:creationId xmlns:a16="http://schemas.microsoft.com/office/drawing/2014/main" id="{00000000-0008-0000-0100-00007E000000}"/>
              </a:ext>
            </a:extLst>
          </xdr:cNvPr>
          <xdr:cNvSpPr/>
        </xdr:nvSpPr>
        <xdr:spPr>
          <a:xfrm>
            <a:off x="10456" y="9923"/>
            <a:ext cx="32" cy="29"/>
          </a:xfrm>
          <a:custGeom>
            <a:avLst/>
            <a:gdLst/>
            <a:ahLst/>
            <a:cxnLst>
              <a:cxn ang="0">
                <a:pos x="32" y="29"/>
              </a:cxn>
              <a:cxn ang="0">
                <a:pos x="32" y="29"/>
              </a:cxn>
              <a:cxn ang="0">
                <a:pos x="32" y="26"/>
              </a:cxn>
              <a:cxn ang="0">
                <a:pos x="32" y="23"/>
              </a:cxn>
              <a:cxn ang="0">
                <a:pos x="29" y="20"/>
              </a:cxn>
              <a:cxn ang="0">
                <a:pos x="29" y="14"/>
              </a:cxn>
              <a:cxn ang="0">
                <a:pos x="29" y="12"/>
              </a:cxn>
              <a:cxn ang="0">
                <a:pos x="29" y="9"/>
              </a:cxn>
              <a:cxn ang="0">
                <a:pos x="26" y="3"/>
              </a:cxn>
              <a:cxn ang="0">
                <a:pos x="23" y="0"/>
              </a:cxn>
              <a:cxn ang="0">
                <a:pos x="0" y="14"/>
              </a:cxn>
              <a:cxn ang="0">
                <a:pos x="0" y="14"/>
              </a:cxn>
              <a:cxn ang="0">
                <a:pos x="0" y="14"/>
              </a:cxn>
              <a:cxn ang="0">
                <a:pos x="3" y="17"/>
              </a:cxn>
              <a:cxn ang="0">
                <a:pos x="3" y="20"/>
              </a:cxn>
              <a:cxn ang="0">
                <a:pos x="3" y="20"/>
              </a:cxn>
              <a:cxn ang="0">
                <a:pos x="3" y="23"/>
              </a:cxn>
              <a:cxn ang="0">
                <a:pos x="3" y="26"/>
              </a:cxn>
              <a:cxn ang="0">
                <a:pos x="3" y="29"/>
              </a:cxn>
              <a:cxn ang="0">
                <a:pos x="32" y="29"/>
              </a:cxn>
            </a:cxnLst>
            <a:rect l="0" t="0" r="r" b="b"/>
            <a:pathLst>
              <a:path w="32" h="29">
                <a:moveTo>
                  <a:pt x="32" y="29"/>
                </a:moveTo>
                <a:lnTo>
                  <a:pt x="32" y="29"/>
                </a:lnTo>
                <a:lnTo>
                  <a:pt x="32" y="26"/>
                </a:lnTo>
                <a:lnTo>
                  <a:pt x="32" y="23"/>
                </a:lnTo>
                <a:lnTo>
                  <a:pt x="29" y="20"/>
                </a:lnTo>
                <a:lnTo>
                  <a:pt x="29" y="14"/>
                </a:lnTo>
                <a:lnTo>
                  <a:pt x="29" y="12"/>
                </a:lnTo>
                <a:lnTo>
                  <a:pt x="29" y="9"/>
                </a:lnTo>
                <a:lnTo>
                  <a:pt x="26" y="3"/>
                </a:lnTo>
                <a:lnTo>
                  <a:pt x="23" y="0"/>
                </a:lnTo>
                <a:lnTo>
                  <a:pt x="0" y="14"/>
                </a:lnTo>
                <a:lnTo>
                  <a:pt x="0" y="14"/>
                </a:lnTo>
                <a:lnTo>
                  <a:pt x="0" y="14"/>
                </a:lnTo>
                <a:lnTo>
                  <a:pt x="3" y="17"/>
                </a:lnTo>
                <a:lnTo>
                  <a:pt x="3" y="20"/>
                </a:lnTo>
                <a:lnTo>
                  <a:pt x="3" y="20"/>
                </a:lnTo>
                <a:lnTo>
                  <a:pt x="3" y="23"/>
                </a:lnTo>
                <a:lnTo>
                  <a:pt x="3" y="26"/>
                </a:lnTo>
                <a:lnTo>
                  <a:pt x="3" y="29"/>
                </a:lnTo>
                <a:lnTo>
                  <a:pt x="32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7" name="Freeform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/>
        </xdr:nvSpPr>
        <xdr:spPr>
          <a:xfrm>
            <a:off x="10453" y="9952"/>
            <a:ext cx="35" cy="40"/>
          </a:xfrm>
          <a:custGeom>
            <a:avLst/>
            <a:gdLst/>
            <a:ahLst/>
            <a:cxnLst>
              <a:cxn ang="0">
                <a:pos x="23" y="40"/>
              </a:cxn>
              <a:cxn ang="0">
                <a:pos x="23" y="40"/>
              </a:cxn>
              <a:cxn ang="0">
                <a:pos x="26" y="37"/>
              </a:cxn>
              <a:cxn ang="0">
                <a:pos x="29" y="32"/>
              </a:cxn>
              <a:cxn ang="0">
                <a:pos x="29" y="26"/>
              </a:cxn>
              <a:cxn ang="0">
                <a:pos x="32" y="20"/>
              </a:cxn>
              <a:cxn ang="0">
                <a:pos x="32" y="14"/>
              </a:cxn>
              <a:cxn ang="0">
                <a:pos x="32" y="11"/>
              </a:cxn>
              <a:cxn ang="0">
                <a:pos x="35" y="3"/>
              </a:cxn>
              <a:cxn ang="0">
                <a:pos x="35" y="0"/>
              </a:cxn>
              <a:cxn ang="0">
                <a:pos x="6" y="0"/>
              </a:cxn>
              <a:cxn ang="0">
                <a:pos x="6" y="3"/>
              </a:cxn>
              <a:cxn ang="0">
                <a:pos x="6" y="6"/>
              </a:cxn>
              <a:cxn ang="0">
                <a:pos x="6" y="11"/>
              </a:cxn>
              <a:cxn ang="0">
                <a:pos x="6" y="14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0" y="26"/>
              </a:cxn>
              <a:cxn ang="0">
                <a:pos x="0" y="26"/>
              </a:cxn>
              <a:cxn ang="0">
                <a:pos x="23" y="40"/>
              </a:cxn>
            </a:cxnLst>
            <a:rect l="0" t="0" r="r" b="b"/>
            <a:pathLst>
              <a:path w="35" h="40">
                <a:moveTo>
                  <a:pt x="23" y="40"/>
                </a:moveTo>
                <a:lnTo>
                  <a:pt x="23" y="40"/>
                </a:lnTo>
                <a:lnTo>
                  <a:pt x="26" y="37"/>
                </a:lnTo>
                <a:lnTo>
                  <a:pt x="29" y="32"/>
                </a:lnTo>
                <a:lnTo>
                  <a:pt x="29" y="26"/>
                </a:lnTo>
                <a:lnTo>
                  <a:pt x="32" y="20"/>
                </a:lnTo>
                <a:lnTo>
                  <a:pt x="32" y="14"/>
                </a:lnTo>
                <a:lnTo>
                  <a:pt x="32" y="11"/>
                </a:lnTo>
                <a:lnTo>
                  <a:pt x="35" y="3"/>
                </a:lnTo>
                <a:lnTo>
                  <a:pt x="35" y="0"/>
                </a:lnTo>
                <a:lnTo>
                  <a:pt x="6" y="0"/>
                </a:lnTo>
                <a:lnTo>
                  <a:pt x="6" y="3"/>
                </a:lnTo>
                <a:lnTo>
                  <a:pt x="6" y="6"/>
                </a:lnTo>
                <a:lnTo>
                  <a:pt x="6" y="11"/>
                </a:lnTo>
                <a:lnTo>
                  <a:pt x="6" y="14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0" y="26"/>
                </a:lnTo>
                <a:lnTo>
                  <a:pt x="0" y="26"/>
                </a:lnTo>
                <a:lnTo>
                  <a:pt x="23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8" name="Freeform 127">
            <a:extLst>
              <a:ext uri="{FF2B5EF4-FFF2-40B4-BE49-F238E27FC236}">
                <a16:creationId xmlns:a16="http://schemas.microsoft.com/office/drawing/2014/main" id="{00000000-0008-0000-0100-000080000000}"/>
              </a:ext>
            </a:extLst>
          </xdr:cNvPr>
          <xdr:cNvSpPr/>
        </xdr:nvSpPr>
        <xdr:spPr>
          <a:xfrm>
            <a:off x="10432" y="9978"/>
            <a:ext cx="44" cy="46"/>
          </a:xfrm>
          <a:custGeom>
            <a:avLst/>
            <a:gdLst/>
            <a:ahLst/>
            <a:cxnLst>
              <a:cxn ang="0">
                <a:pos x="15" y="46"/>
              </a:cxn>
              <a:cxn ang="0">
                <a:pos x="15" y="46"/>
              </a:cxn>
              <a:cxn ang="0">
                <a:pos x="18" y="43"/>
              </a:cxn>
              <a:cxn ang="0">
                <a:pos x="24" y="40"/>
              </a:cxn>
              <a:cxn ang="0">
                <a:pos x="27" y="34"/>
              </a:cxn>
              <a:cxn ang="0">
                <a:pos x="30" y="31"/>
              </a:cxn>
              <a:cxn ang="0">
                <a:pos x="32" y="29"/>
              </a:cxn>
              <a:cxn ang="0">
                <a:pos x="38" y="26"/>
              </a:cxn>
              <a:cxn ang="0">
                <a:pos x="41" y="20"/>
              </a:cxn>
              <a:cxn ang="0">
                <a:pos x="44" y="14"/>
              </a:cxn>
              <a:cxn ang="0">
                <a:pos x="21" y="0"/>
              </a:cxn>
              <a:cxn ang="0">
                <a:pos x="18" y="6"/>
              </a:cxn>
              <a:cxn ang="0">
                <a:pos x="18" y="6"/>
              </a:cxn>
              <a:cxn ang="0">
                <a:pos x="15" y="8"/>
              </a:cxn>
              <a:cxn ang="0">
                <a:pos x="12" y="11"/>
              </a:cxn>
              <a:cxn ang="0">
                <a:pos x="9" y="17"/>
              </a:cxn>
              <a:cxn ang="0">
                <a:pos x="3" y="20"/>
              </a:cxn>
              <a:cxn ang="0">
                <a:pos x="3" y="20"/>
              </a:cxn>
              <a:cxn ang="0">
                <a:pos x="0" y="23"/>
              </a:cxn>
              <a:cxn ang="0">
                <a:pos x="15" y="46"/>
              </a:cxn>
            </a:cxnLst>
            <a:rect l="0" t="0" r="r" b="b"/>
            <a:pathLst>
              <a:path w="44" h="46">
                <a:moveTo>
                  <a:pt x="15" y="46"/>
                </a:moveTo>
                <a:lnTo>
                  <a:pt x="15" y="46"/>
                </a:lnTo>
                <a:lnTo>
                  <a:pt x="18" y="43"/>
                </a:lnTo>
                <a:lnTo>
                  <a:pt x="24" y="40"/>
                </a:lnTo>
                <a:lnTo>
                  <a:pt x="27" y="34"/>
                </a:lnTo>
                <a:lnTo>
                  <a:pt x="30" y="31"/>
                </a:lnTo>
                <a:lnTo>
                  <a:pt x="32" y="29"/>
                </a:lnTo>
                <a:lnTo>
                  <a:pt x="38" y="26"/>
                </a:lnTo>
                <a:lnTo>
                  <a:pt x="41" y="20"/>
                </a:lnTo>
                <a:lnTo>
                  <a:pt x="44" y="14"/>
                </a:lnTo>
                <a:lnTo>
                  <a:pt x="21" y="0"/>
                </a:lnTo>
                <a:lnTo>
                  <a:pt x="18" y="6"/>
                </a:lnTo>
                <a:lnTo>
                  <a:pt x="18" y="6"/>
                </a:lnTo>
                <a:lnTo>
                  <a:pt x="15" y="8"/>
                </a:lnTo>
                <a:lnTo>
                  <a:pt x="12" y="11"/>
                </a:lnTo>
                <a:lnTo>
                  <a:pt x="9" y="17"/>
                </a:lnTo>
                <a:lnTo>
                  <a:pt x="3" y="20"/>
                </a:lnTo>
                <a:lnTo>
                  <a:pt x="3" y="20"/>
                </a:lnTo>
                <a:lnTo>
                  <a:pt x="0" y="23"/>
                </a:lnTo>
                <a:lnTo>
                  <a:pt x="15" y="4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9" name="Freeform 128">
            <a:extLst>
              <a:ext uri="{FF2B5EF4-FFF2-40B4-BE49-F238E27FC236}">
                <a16:creationId xmlns:a16="http://schemas.microsoft.com/office/drawing/2014/main" id="{00000000-0008-0000-0100-000081000000}"/>
              </a:ext>
            </a:extLst>
          </xdr:cNvPr>
          <xdr:cNvSpPr/>
        </xdr:nvSpPr>
        <xdr:spPr>
          <a:xfrm>
            <a:off x="10406" y="10001"/>
            <a:ext cx="41" cy="34"/>
          </a:xfrm>
          <a:custGeom>
            <a:avLst/>
            <a:gdLst/>
            <a:ahLst/>
            <a:cxnLst>
              <a:cxn ang="0">
                <a:pos x="0" y="34"/>
              </a:cxn>
              <a:cxn ang="0">
                <a:pos x="0" y="34"/>
              </a:cxn>
              <a:cxn ang="0">
                <a:pos x="3" y="34"/>
              </a:cxn>
              <a:cxn ang="0">
                <a:pos x="11" y="34"/>
              </a:cxn>
              <a:cxn ang="0">
                <a:pos x="14" y="31"/>
              </a:cxn>
              <a:cxn ang="0">
                <a:pos x="20" y="31"/>
              </a:cxn>
              <a:cxn ang="0">
                <a:pos x="26" y="31"/>
              </a:cxn>
              <a:cxn ang="0">
                <a:pos x="32" y="29"/>
              </a:cxn>
              <a:cxn ang="0">
                <a:pos x="35" y="26"/>
              </a:cxn>
              <a:cxn ang="0">
                <a:pos x="41" y="23"/>
              </a:cxn>
              <a:cxn ang="0">
                <a:pos x="26" y="0"/>
              </a:cxn>
              <a:cxn ang="0">
                <a:pos x="23" y="0"/>
              </a:cxn>
              <a:cxn ang="0">
                <a:pos x="20" y="3"/>
              </a:cxn>
              <a:cxn ang="0">
                <a:pos x="17" y="3"/>
              </a:cxn>
              <a:cxn ang="0">
                <a:pos x="14" y="6"/>
              </a:cxn>
              <a:cxn ang="0">
                <a:pos x="11" y="6"/>
              </a:cxn>
              <a:cxn ang="0">
                <a:pos x="6" y="6"/>
              </a:cxn>
              <a:cxn ang="0">
                <a:pos x="3" y="6"/>
              </a:cxn>
              <a:cxn ang="0">
                <a:pos x="0" y="6"/>
              </a:cxn>
              <a:cxn ang="0">
                <a:pos x="0" y="34"/>
              </a:cxn>
            </a:cxnLst>
            <a:rect l="0" t="0" r="r" b="b"/>
            <a:pathLst>
              <a:path w="41" h="34">
                <a:moveTo>
                  <a:pt x="0" y="34"/>
                </a:moveTo>
                <a:lnTo>
                  <a:pt x="0" y="34"/>
                </a:lnTo>
                <a:lnTo>
                  <a:pt x="3" y="34"/>
                </a:lnTo>
                <a:lnTo>
                  <a:pt x="11" y="34"/>
                </a:lnTo>
                <a:lnTo>
                  <a:pt x="14" y="31"/>
                </a:lnTo>
                <a:lnTo>
                  <a:pt x="20" y="31"/>
                </a:lnTo>
                <a:lnTo>
                  <a:pt x="26" y="31"/>
                </a:lnTo>
                <a:lnTo>
                  <a:pt x="32" y="29"/>
                </a:lnTo>
                <a:lnTo>
                  <a:pt x="35" y="26"/>
                </a:lnTo>
                <a:lnTo>
                  <a:pt x="41" y="23"/>
                </a:lnTo>
                <a:lnTo>
                  <a:pt x="26" y="0"/>
                </a:lnTo>
                <a:lnTo>
                  <a:pt x="23" y="0"/>
                </a:lnTo>
                <a:lnTo>
                  <a:pt x="20" y="3"/>
                </a:lnTo>
                <a:lnTo>
                  <a:pt x="17" y="3"/>
                </a:lnTo>
                <a:lnTo>
                  <a:pt x="14" y="6"/>
                </a:lnTo>
                <a:lnTo>
                  <a:pt x="11" y="6"/>
                </a:lnTo>
                <a:lnTo>
                  <a:pt x="6" y="6"/>
                </a:lnTo>
                <a:lnTo>
                  <a:pt x="3" y="6"/>
                </a:lnTo>
                <a:lnTo>
                  <a:pt x="0" y="6"/>
                </a:lnTo>
                <a:lnTo>
                  <a:pt x="0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0" name="Freeform 129">
            <a:extLst>
              <a:ext uri="{FF2B5EF4-FFF2-40B4-BE49-F238E27FC236}">
                <a16:creationId xmlns:a16="http://schemas.microsoft.com/office/drawing/2014/main" id="{00000000-0008-0000-0100-000082000000}"/>
              </a:ext>
            </a:extLst>
          </xdr:cNvPr>
          <xdr:cNvSpPr/>
        </xdr:nvSpPr>
        <xdr:spPr>
          <a:xfrm>
            <a:off x="10359" y="10001"/>
            <a:ext cx="47" cy="34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8" y="26"/>
              </a:cxn>
              <a:cxn ang="0">
                <a:pos x="14" y="29"/>
              </a:cxn>
              <a:cxn ang="0">
                <a:pos x="17" y="29"/>
              </a:cxn>
              <a:cxn ang="0">
                <a:pos x="20" y="31"/>
              </a:cxn>
              <a:cxn ang="0">
                <a:pos x="29" y="31"/>
              </a:cxn>
              <a:cxn ang="0">
                <a:pos x="32" y="34"/>
              </a:cxn>
              <a:cxn ang="0">
                <a:pos x="35" y="34"/>
              </a:cxn>
              <a:cxn ang="0">
                <a:pos x="41" y="34"/>
              </a:cxn>
              <a:cxn ang="0">
                <a:pos x="47" y="34"/>
              </a:cxn>
              <a:cxn ang="0">
                <a:pos x="47" y="6"/>
              </a:cxn>
              <a:cxn ang="0">
                <a:pos x="41" y="6"/>
              </a:cxn>
              <a:cxn ang="0">
                <a:pos x="41" y="6"/>
              </a:cxn>
              <a:cxn ang="0">
                <a:pos x="35" y="6"/>
              </a:cxn>
              <a:cxn ang="0">
                <a:pos x="32" y="6"/>
              </a:cxn>
              <a:cxn ang="0">
                <a:pos x="29" y="3"/>
              </a:cxn>
              <a:cxn ang="0">
                <a:pos x="26" y="3"/>
              </a:cxn>
              <a:cxn ang="0">
                <a:pos x="23" y="3"/>
              </a:cxn>
              <a:cxn ang="0">
                <a:pos x="20" y="0"/>
              </a:cxn>
              <a:cxn ang="0">
                <a:pos x="29" y="17"/>
              </a:cxn>
              <a:cxn ang="0">
                <a:pos x="0" y="11"/>
              </a:cxn>
              <a:cxn ang="0">
                <a:pos x="0" y="23"/>
              </a:cxn>
              <a:cxn ang="0">
                <a:pos x="8" y="26"/>
              </a:cxn>
              <a:cxn ang="0">
                <a:pos x="0" y="11"/>
              </a:cxn>
            </a:cxnLst>
            <a:rect l="0" t="0" r="r" b="b"/>
            <a:pathLst>
              <a:path w="47" h="34">
                <a:moveTo>
                  <a:pt x="0" y="11"/>
                </a:moveTo>
                <a:lnTo>
                  <a:pt x="8" y="26"/>
                </a:lnTo>
                <a:lnTo>
                  <a:pt x="14" y="29"/>
                </a:lnTo>
                <a:lnTo>
                  <a:pt x="17" y="29"/>
                </a:lnTo>
                <a:lnTo>
                  <a:pt x="20" y="31"/>
                </a:lnTo>
                <a:lnTo>
                  <a:pt x="29" y="31"/>
                </a:lnTo>
                <a:lnTo>
                  <a:pt x="32" y="34"/>
                </a:lnTo>
                <a:lnTo>
                  <a:pt x="35" y="34"/>
                </a:lnTo>
                <a:lnTo>
                  <a:pt x="41" y="34"/>
                </a:lnTo>
                <a:lnTo>
                  <a:pt x="47" y="34"/>
                </a:lnTo>
                <a:lnTo>
                  <a:pt x="47" y="6"/>
                </a:lnTo>
                <a:lnTo>
                  <a:pt x="41" y="6"/>
                </a:lnTo>
                <a:lnTo>
                  <a:pt x="41" y="6"/>
                </a:lnTo>
                <a:lnTo>
                  <a:pt x="35" y="6"/>
                </a:lnTo>
                <a:lnTo>
                  <a:pt x="32" y="6"/>
                </a:lnTo>
                <a:lnTo>
                  <a:pt x="29" y="3"/>
                </a:lnTo>
                <a:lnTo>
                  <a:pt x="26" y="3"/>
                </a:lnTo>
                <a:lnTo>
                  <a:pt x="23" y="3"/>
                </a:lnTo>
                <a:lnTo>
                  <a:pt x="20" y="0"/>
                </a:lnTo>
                <a:lnTo>
                  <a:pt x="29" y="17"/>
                </a:lnTo>
                <a:lnTo>
                  <a:pt x="0" y="11"/>
                </a:lnTo>
                <a:lnTo>
                  <a:pt x="0" y="23"/>
                </a:lnTo>
                <a:lnTo>
                  <a:pt x="8" y="26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1" name="Freeform 130">
            <a:extLst>
              <a:ext uri="{FF2B5EF4-FFF2-40B4-BE49-F238E27FC236}">
                <a16:creationId xmlns:a16="http://schemas.microsoft.com/office/drawing/2014/main" id="{00000000-0008-0000-0100-000083000000}"/>
              </a:ext>
            </a:extLst>
          </xdr:cNvPr>
          <xdr:cNvSpPr/>
        </xdr:nvSpPr>
        <xdr:spPr>
          <a:xfrm>
            <a:off x="10359" y="9917"/>
            <a:ext cx="38" cy="101"/>
          </a:xfrm>
          <a:custGeom>
            <a:avLst/>
            <a:gdLst/>
            <a:ahLst/>
            <a:cxnLst>
              <a:cxn ang="0">
                <a:pos x="35" y="35"/>
              </a:cxn>
              <a:cxn ang="0">
                <a:pos x="8" y="41"/>
              </a:cxn>
              <a:cxn ang="0">
                <a:pos x="0" y="95"/>
              </a:cxn>
              <a:cxn ang="0">
                <a:pos x="29" y="101"/>
              </a:cxn>
              <a:cxn ang="0">
                <a:pos x="38" y="43"/>
              </a:cxn>
              <a:cxn ang="0">
                <a:pos x="11" y="46"/>
              </a:cxn>
              <a:cxn ang="0">
                <a:pos x="35" y="35"/>
              </a:cxn>
              <a:cxn ang="0">
                <a:pos x="17" y="0"/>
              </a:cxn>
              <a:cxn ang="0">
                <a:pos x="8" y="41"/>
              </a:cxn>
              <a:cxn ang="0">
                <a:pos x="35" y="35"/>
              </a:cxn>
            </a:cxnLst>
            <a:rect l="0" t="0" r="r" b="b"/>
            <a:pathLst>
              <a:path w="38" h="101">
                <a:moveTo>
                  <a:pt x="35" y="35"/>
                </a:moveTo>
                <a:lnTo>
                  <a:pt x="8" y="41"/>
                </a:lnTo>
                <a:lnTo>
                  <a:pt x="0" y="95"/>
                </a:lnTo>
                <a:lnTo>
                  <a:pt x="29" y="101"/>
                </a:lnTo>
                <a:lnTo>
                  <a:pt x="38" y="43"/>
                </a:lnTo>
                <a:lnTo>
                  <a:pt x="11" y="46"/>
                </a:lnTo>
                <a:lnTo>
                  <a:pt x="35" y="35"/>
                </a:lnTo>
                <a:lnTo>
                  <a:pt x="17" y="0"/>
                </a:lnTo>
                <a:lnTo>
                  <a:pt x="8" y="41"/>
                </a:lnTo>
                <a:lnTo>
                  <a:pt x="35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2" name="Freeform 131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SpPr/>
        </xdr:nvSpPr>
        <xdr:spPr>
          <a:xfrm>
            <a:off x="10464" y="9825"/>
            <a:ext cx="56" cy="19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6"/>
              </a:cxn>
              <a:cxn ang="0">
                <a:pos x="56" y="15"/>
              </a:cxn>
              <a:cxn ang="0">
                <a:pos x="42" y="29"/>
              </a:cxn>
              <a:cxn ang="0">
                <a:pos x="42" y="0"/>
              </a:cxn>
              <a:cxn ang="0">
                <a:pos x="33" y="0"/>
              </a:cxn>
              <a:cxn ang="0">
                <a:pos x="30" y="12"/>
              </a:cxn>
              <a:cxn ang="0">
                <a:pos x="42" y="0"/>
              </a:cxn>
            </a:cxnLst>
            <a:rect l="0" t="0" r="r" b="b"/>
            <a:pathLst>
              <a:path w="56" h="196">
                <a:moveTo>
                  <a:pt x="42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6"/>
                </a:lnTo>
                <a:lnTo>
                  <a:pt x="56" y="15"/>
                </a:lnTo>
                <a:lnTo>
                  <a:pt x="42" y="29"/>
                </a:lnTo>
                <a:lnTo>
                  <a:pt x="42" y="0"/>
                </a:lnTo>
                <a:lnTo>
                  <a:pt x="33" y="0"/>
                </a:lnTo>
                <a:lnTo>
                  <a:pt x="30" y="12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3" name="Freeform 132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SpPr/>
        </xdr:nvSpPr>
        <xdr:spPr>
          <a:xfrm>
            <a:off x="10509" y="9825"/>
            <a:ext cx="61" cy="29"/>
          </a:xfrm>
          <a:custGeom>
            <a:avLst/>
            <a:gdLst/>
            <a:ahLst/>
            <a:cxnLst>
              <a:cxn ang="0">
                <a:pos x="58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58" y="15"/>
              </a:cxn>
              <a:cxn ang="0">
                <a:pos x="61" y="0"/>
              </a:cxn>
              <a:cxn ang="0">
                <a:pos x="47" y="0"/>
              </a:cxn>
              <a:cxn ang="0">
                <a:pos x="58" y="15"/>
              </a:cxn>
            </a:cxnLst>
            <a:rect l="0" t="0" r="r" b="b"/>
            <a:pathLst>
              <a:path w="61" h="29">
                <a:moveTo>
                  <a:pt x="58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58" y="15"/>
                </a:lnTo>
                <a:lnTo>
                  <a:pt x="61" y="0"/>
                </a:lnTo>
                <a:lnTo>
                  <a:pt x="47" y="0"/>
                </a:lnTo>
                <a:lnTo>
                  <a:pt x="58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4" name="Freeform 133">
            <a:extLst>
              <a:ext uri="{FF2B5EF4-FFF2-40B4-BE49-F238E27FC236}">
                <a16:creationId xmlns:a16="http://schemas.microsoft.com/office/drawing/2014/main" id="{00000000-0008-0000-0100-000086000000}"/>
              </a:ext>
            </a:extLst>
          </xdr:cNvPr>
          <xdr:cNvSpPr/>
        </xdr:nvSpPr>
        <xdr:spPr>
          <a:xfrm>
            <a:off x="10512" y="9837"/>
            <a:ext cx="55" cy="195"/>
          </a:xfrm>
          <a:custGeom>
            <a:avLst/>
            <a:gdLst/>
            <a:ahLst/>
            <a:cxnLst>
              <a:cxn ang="0">
                <a:pos x="14" y="195"/>
              </a:cxn>
              <a:cxn ang="0">
                <a:pos x="29" y="184"/>
              </a:cxn>
              <a:cxn ang="0">
                <a:pos x="55" y="5"/>
              </a:cxn>
              <a:cxn ang="0">
                <a:pos x="29" y="0"/>
              </a:cxn>
              <a:cxn ang="0">
                <a:pos x="0" y="178"/>
              </a:cxn>
              <a:cxn ang="0">
                <a:pos x="14" y="167"/>
              </a:cxn>
              <a:cxn ang="0">
                <a:pos x="14" y="195"/>
              </a:cxn>
              <a:cxn ang="0">
                <a:pos x="26" y="195"/>
              </a:cxn>
              <a:cxn ang="0">
                <a:pos x="29" y="184"/>
              </a:cxn>
              <a:cxn ang="0">
                <a:pos x="14" y="195"/>
              </a:cxn>
            </a:cxnLst>
            <a:rect l="0" t="0" r="r" b="b"/>
            <a:pathLst>
              <a:path w="55" h="195">
                <a:moveTo>
                  <a:pt x="14" y="195"/>
                </a:moveTo>
                <a:lnTo>
                  <a:pt x="29" y="184"/>
                </a:lnTo>
                <a:lnTo>
                  <a:pt x="55" y="5"/>
                </a:lnTo>
                <a:lnTo>
                  <a:pt x="29" y="0"/>
                </a:lnTo>
                <a:lnTo>
                  <a:pt x="0" y="178"/>
                </a:lnTo>
                <a:lnTo>
                  <a:pt x="14" y="167"/>
                </a:lnTo>
                <a:lnTo>
                  <a:pt x="14" y="195"/>
                </a:lnTo>
                <a:lnTo>
                  <a:pt x="26" y="195"/>
                </a:lnTo>
                <a:lnTo>
                  <a:pt x="29" y="184"/>
                </a:lnTo>
                <a:lnTo>
                  <a:pt x="14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5" name="Freeform 134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10464" y="10004"/>
            <a:ext cx="62" cy="28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30" y="17"/>
              </a:cxn>
              <a:cxn ang="0">
                <a:pos x="0" y="11"/>
              </a:cxn>
              <a:cxn ang="0">
                <a:pos x="0" y="28"/>
              </a:cxn>
              <a:cxn ang="0">
                <a:pos x="15" y="28"/>
              </a:cxn>
              <a:cxn ang="0">
                <a:pos x="0" y="11"/>
              </a:cxn>
            </a:cxnLst>
            <a:rect l="0" t="0" r="r" b="b"/>
            <a:pathLst>
              <a:path w="62" h="28">
                <a:moveTo>
                  <a:pt x="0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30" y="17"/>
                </a:lnTo>
                <a:lnTo>
                  <a:pt x="0" y="11"/>
                </a:lnTo>
                <a:lnTo>
                  <a:pt x="0" y="28"/>
                </a:lnTo>
                <a:lnTo>
                  <a:pt x="15" y="28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6" name="Freeform 135">
            <a:extLst>
              <a:ext uri="{FF2B5EF4-FFF2-40B4-BE49-F238E27FC236}">
                <a16:creationId xmlns:a16="http://schemas.microsoft.com/office/drawing/2014/main" id="{00000000-0008-0000-0100-000088000000}"/>
              </a:ext>
            </a:extLst>
          </xdr:cNvPr>
          <xdr:cNvSpPr/>
        </xdr:nvSpPr>
        <xdr:spPr>
          <a:xfrm>
            <a:off x="10532" y="9828"/>
            <a:ext cx="56" cy="193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3"/>
              </a:cxn>
              <a:cxn ang="0">
                <a:pos x="56" y="14"/>
              </a:cxn>
              <a:cxn ang="0">
                <a:pos x="41" y="26"/>
              </a:cxn>
              <a:cxn ang="0">
                <a:pos x="41" y="0"/>
              </a:cxn>
              <a:cxn ang="0">
                <a:pos x="30" y="0"/>
              </a:cxn>
              <a:cxn ang="0">
                <a:pos x="30" y="12"/>
              </a:cxn>
              <a:cxn ang="0">
                <a:pos x="41" y="0"/>
              </a:cxn>
            </a:cxnLst>
            <a:rect l="0" t="0" r="r" b="b"/>
            <a:pathLst>
              <a:path w="56" h="193">
                <a:moveTo>
                  <a:pt x="41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3"/>
                </a:lnTo>
                <a:lnTo>
                  <a:pt x="56" y="14"/>
                </a:lnTo>
                <a:lnTo>
                  <a:pt x="41" y="26"/>
                </a:lnTo>
                <a:lnTo>
                  <a:pt x="41" y="0"/>
                </a:lnTo>
                <a:lnTo>
                  <a:pt x="30" y="0"/>
                </a:lnTo>
                <a:lnTo>
                  <a:pt x="30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7" name="Freeform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/>
        </xdr:nvSpPr>
        <xdr:spPr>
          <a:xfrm>
            <a:off x="10573" y="9828"/>
            <a:ext cx="42" cy="2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42" y="0"/>
              </a:cxn>
              <a:cxn ang="0">
                <a:pos x="0" y="0"/>
              </a:cxn>
              <a:cxn ang="0">
                <a:pos x="0" y="26"/>
              </a:cxn>
              <a:cxn ang="0">
                <a:pos x="42" y="26"/>
              </a:cxn>
              <a:cxn ang="0">
                <a:pos x="42" y="0"/>
              </a:cxn>
            </a:cxnLst>
            <a:rect l="0" t="0" r="r" b="b"/>
            <a:pathLst>
              <a:path w="42" h="26">
                <a:moveTo>
                  <a:pt x="42" y="0"/>
                </a:moveTo>
                <a:lnTo>
                  <a:pt x="42" y="0"/>
                </a:lnTo>
                <a:lnTo>
                  <a:pt x="0" y="0"/>
                </a:lnTo>
                <a:lnTo>
                  <a:pt x="0" y="26"/>
                </a:lnTo>
                <a:lnTo>
                  <a:pt x="42" y="26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8" name="Freeform 137">
            <a:extLst>
              <a:ext uri="{FF2B5EF4-FFF2-40B4-BE49-F238E27FC236}">
                <a16:creationId xmlns:a16="http://schemas.microsoft.com/office/drawing/2014/main" id="{00000000-0008-0000-0100-00008A000000}"/>
              </a:ext>
            </a:extLst>
          </xdr:cNvPr>
          <xdr:cNvSpPr/>
        </xdr:nvSpPr>
        <xdr:spPr>
          <a:xfrm>
            <a:off x="10615" y="9828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5" y="6"/>
              </a:cxn>
              <a:cxn ang="0">
                <a:pos x="29" y="3"/>
              </a:cxn>
              <a:cxn ang="0">
                <a:pos x="26" y="3"/>
              </a:cxn>
              <a:cxn ang="0">
                <a:pos x="20" y="0"/>
              </a:cxn>
              <a:cxn ang="0">
                <a:pos x="14" y="0"/>
              </a:cxn>
              <a:cxn ang="0">
                <a:pos x="8" y="0"/>
              </a:cxn>
              <a:cxn ang="0">
                <a:pos x="2" y="0"/>
              </a:cxn>
              <a:cxn ang="0">
                <a:pos x="0" y="0"/>
              </a:cxn>
              <a:cxn ang="0">
                <a:pos x="0" y="26"/>
              </a:cxn>
              <a:cxn ang="0">
                <a:pos x="2" y="26"/>
              </a:cxn>
              <a:cxn ang="0">
                <a:pos x="5" y="26"/>
              </a:cxn>
              <a:cxn ang="0">
                <a:pos x="11" y="26"/>
              </a:cxn>
              <a:cxn ang="0">
                <a:pos x="14" y="29"/>
              </a:cxn>
              <a:cxn ang="0">
                <a:pos x="17" y="29"/>
              </a:cxn>
              <a:cxn ang="0">
                <a:pos x="23" y="29"/>
              </a:cxn>
              <a:cxn ang="0">
                <a:pos x="23" y="32"/>
              </a:cxn>
              <a:cxn ang="0">
                <a:pos x="29" y="32"/>
              </a:cxn>
              <a:cxn ang="0">
                <a:pos x="29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5" y="6"/>
                </a:lnTo>
                <a:lnTo>
                  <a:pt x="29" y="3"/>
                </a:lnTo>
                <a:lnTo>
                  <a:pt x="26" y="3"/>
                </a:lnTo>
                <a:lnTo>
                  <a:pt x="20" y="0"/>
                </a:lnTo>
                <a:lnTo>
                  <a:pt x="14" y="0"/>
                </a:lnTo>
                <a:lnTo>
                  <a:pt x="8" y="0"/>
                </a:lnTo>
                <a:lnTo>
                  <a:pt x="2" y="0"/>
                </a:lnTo>
                <a:lnTo>
                  <a:pt x="0" y="0"/>
                </a:lnTo>
                <a:lnTo>
                  <a:pt x="0" y="26"/>
                </a:lnTo>
                <a:lnTo>
                  <a:pt x="2" y="26"/>
                </a:lnTo>
                <a:lnTo>
                  <a:pt x="5" y="26"/>
                </a:lnTo>
                <a:lnTo>
                  <a:pt x="11" y="26"/>
                </a:lnTo>
                <a:lnTo>
                  <a:pt x="14" y="29"/>
                </a:lnTo>
                <a:lnTo>
                  <a:pt x="17" y="29"/>
                </a:lnTo>
                <a:lnTo>
                  <a:pt x="23" y="29"/>
                </a:lnTo>
                <a:lnTo>
                  <a:pt x="23" y="32"/>
                </a:lnTo>
                <a:lnTo>
                  <a:pt x="29" y="32"/>
                </a:lnTo>
                <a:lnTo>
                  <a:pt x="29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9" name="Freeform 138">
            <a:extLst>
              <a:ext uri="{FF2B5EF4-FFF2-40B4-BE49-F238E27FC236}">
                <a16:creationId xmlns:a16="http://schemas.microsoft.com/office/drawing/2014/main" id="{00000000-0008-0000-0100-00008B000000}"/>
              </a:ext>
            </a:extLst>
          </xdr:cNvPr>
          <xdr:cNvSpPr/>
        </xdr:nvSpPr>
        <xdr:spPr>
          <a:xfrm>
            <a:off x="10644" y="9837"/>
            <a:ext cx="41" cy="40"/>
          </a:xfrm>
          <a:custGeom>
            <a:avLst/>
            <a:gdLst/>
            <a:ahLst/>
            <a:cxnLst>
              <a:cxn ang="0">
                <a:pos x="41" y="28"/>
              </a:cxn>
              <a:cxn ang="0">
                <a:pos x="41" y="28"/>
              </a:cxn>
              <a:cxn ang="0">
                <a:pos x="38" y="23"/>
              </a:cxn>
              <a:cxn ang="0">
                <a:pos x="35" y="20"/>
              </a:cxn>
              <a:cxn ang="0">
                <a:pos x="32" y="14"/>
              </a:cxn>
              <a:cxn ang="0">
                <a:pos x="29" y="11"/>
              </a:cxn>
              <a:cxn ang="0">
                <a:pos x="23" y="8"/>
              </a:cxn>
              <a:cxn ang="0">
                <a:pos x="21" y="5"/>
              </a:cxn>
              <a:cxn ang="0">
                <a:pos x="15" y="0"/>
              </a:cxn>
              <a:cxn ang="0">
                <a:pos x="12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8"/>
              </a:cxn>
              <a:cxn ang="0">
                <a:pos x="12" y="31"/>
              </a:cxn>
              <a:cxn ang="0">
                <a:pos x="12" y="31"/>
              </a:cxn>
              <a:cxn ang="0">
                <a:pos x="15" y="34"/>
              </a:cxn>
              <a:cxn ang="0">
                <a:pos x="15" y="40"/>
              </a:cxn>
              <a:cxn ang="0">
                <a:pos x="18" y="40"/>
              </a:cxn>
              <a:cxn ang="0">
                <a:pos x="41" y="28"/>
              </a:cxn>
            </a:cxnLst>
            <a:rect l="0" t="0" r="r" b="b"/>
            <a:pathLst>
              <a:path w="41" h="40">
                <a:moveTo>
                  <a:pt x="41" y="28"/>
                </a:moveTo>
                <a:lnTo>
                  <a:pt x="41" y="28"/>
                </a:lnTo>
                <a:lnTo>
                  <a:pt x="38" y="23"/>
                </a:lnTo>
                <a:lnTo>
                  <a:pt x="35" y="20"/>
                </a:lnTo>
                <a:lnTo>
                  <a:pt x="32" y="14"/>
                </a:lnTo>
                <a:lnTo>
                  <a:pt x="29" y="11"/>
                </a:lnTo>
                <a:lnTo>
                  <a:pt x="23" y="8"/>
                </a:lnTo>
                <a:lnTo>
                  <a:pt x="21" y="5"/>
                </a:lnTo>
                <a:lnTo>
                  <a:pt x="15" y="0"/>
                </a:lnTo>
                <a:lnTo>
                  <a:pt x="12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8"/>
                </a:lnTo>
                <a:lnTo>
                  <a:pt x="12" y="31"/>
                </a:lnTo>
                <a:lnTo>
                  <a:pt x="12" y="31"/>
                </a:lnTo>
                <a:lnTo>
                  <a:pt x="15" y="34"/>
                </a:lnTo>
                <a:lnTo>
                  <a:pt x="15" y="40"/>
                </a:lnTo>
                <a:lnTo>
                  <a:pt x="18" y="40"/>
                </a:lnTo>
                <a:lnTo>
                  <a:pt x="41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0" name="Freeform 139">
            <a:extLst>
              <a:ext uri="{FF2B5EF4-FFF2-40B4-BE49-F238E27FC236}">
                <a16:creationId xmlns:a16="http://schemas.microsoft.com/office/drawing/2014/main" id="{00000000-0008-0000-0100-00008C000000}"/>
              </a:ext>
            </a:extLst>
          </xdr:cNvPr>
          <xdr:cNvSpPr/>
        </xdr:nvSpPr>
        <xdr:spPr>
          <a:xfrm>
            <a:off x="10662" y="9865"/>
            <a:ext cx="35" cy="47"/>
          </a:xfrm>
          <a:custGeom>
            <a:avLst/>
            <a:gdLst/>
            <a:ahLst/>
            <a:cxnLst>
              <a:cxn ang="0">
                <a:pos x="35" y="47"/>
              </a:cxn>
              <a:cxn ang="0">
                <a:pos x="35" y="47"/>
              </a:cxn>
              <a:cxn ang="0">
                <a:pos x="35" y="41"/>
              </a:cxn>
              <a:cxn ang="0">
                <a:pos x="35" y="35"/>
              </a:cxn>
              <a:cxn ang="0">
                <a:pos x="32" y="29"/>
              </a:cxn>
              <a:cxn ang="0">
                <a:pos x="32" y="21"/>
              </a:cxn>
              <a:cxn ang="0">
                <a:pos x="29" y="15"/>
              </a:cxn>
              <a:cxn ang="0">
                <a:pos x="29" y="9"/>
              </a:cxn>
              <a:cxn ang="0">
                <a:pos x="26" y="6"/>
              </a:cxn>
              <a:cxn ang="0">
                <a:pos x="23" y="0"/>
              </a:cxn>
              <a:cxn ang="0">
                <a:pos x="0" y="12"/>
              </a:cxn>
              <a:cxn ang="0">
                <a:pos x="0" y="18"/>
              </a:cxn>
              <a:cxn ang="0">
                <a:pos x="3" y="21"/>
              </a:cxn>
              <a:cxn ang="0">
                <a:pos x="3" y="26"/>
              </a:cxn>
              <a:cxn ang="0">
                <a:pos x="5" y="29"/>
              </a:cxn>
              <a:cxn ang="0">
                <a:pos x="5" y="32"/>
              </a:cxn>
              <a:cxn ang="0">
                <a:pos x="5" y="38"/>
              </a:cxn>
              <a:cxn ang="0">
                <a:pos x="5" y="41"/>
              </a:cxn>
              <a:cxn ang="0">
                <a:pos x="5" y="47"/>
              </a:cxn>
              <a:cxn ang="0">
                <a:pos x="5" y="47"/>
              </a:cxn>
              <a:cxn ang="0">
                <a:pos x="35" y="47"/>
              </a:cxn>
            </a:cxnLst>
            <a:rect l="0" t="0" r="r" b="b"/>
            <a:pathLst>
              <a:path w="35" h="47">
                <a:moveTo>
                  <a:pt x="35" y="47"/>
                </a:moveTo>
                <a:lnTo>
                  <a:pt x="35" y="47"/>
                </a:lnTo>
                <a:lnTo>
                  <a:pt x="35" y="41"/>
                </a:lnTo>
                <a:lnTo>
                  <a:pt x="35" y="35"/>
                </a:lnTo>
                <a:lnTo>
                  <a:pt x="32" y="29"/>
                </a:lnTo>
                <a:lnTo>
                  <a:pt x="32" y="21"/>
                </a:lnTo>
                <a:lnTo>
                  <a:pt x="29" y="15"/>
                </a:lnTo>
                <a:lnTo>
                  <a:pt x="29" y="9"/>
                </a:lnTo>
                <a:lnTo>
                  <a:pt x="26" y="6"/>
                </a:lnTo>
                <a:lnTo>
                  <a:pt x="23" y="0"/>
                </a:lnTo>
                <a:lnTo>
                  <a:pt x="0" y="12"/>
                </a:lnTo>
                <a:lnTo>
                  <a:pt x="0" y="18"/>
                </a:lnTo>
                <a:lnTo>
                  <a:pt x="3" y="21"/>
                </a:lnTo>
                <a:lnTo>
                  <a:pt x="3" y="26"/>
                </a:lnTo>
                <a:lnTo>
                  <a:pt x="5" y="29"/>
                </a:lnTo>
                <a:lnTo>
                  <a:pt x="5" y="32"/>
                </a:lnTo>
                <a:lnTo>
                  <a:pt x="5" y="38"/>
                </a:lnTo>
                <a:lnTo>
                  <a:pt x="5" y="41"/>
                </a:lnTo>
                <a:lnTo>
                  <a:pt x="5" y="47"/>
                </a:lnTo>
                <a:lnTo>
                  <a:pt x="5" y="47"/>
                </a:lnTo>
                <a:lnTo>
                  <a:pt x="35" y="4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1" name="Freeform 140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SpPr/>
        </xdr:nvSpPr>
        <xdr:spPr>
          <a:xfrm>
            <a:off x="10659" y="9912"/>
            <a:ext cx="38" cy="57"/>
          </a:xfrm>
          <a:custGeom>
            <a:avLst/>
            <a:gdLst/>
            <a:ahLst/>
            <a:cxnLst>
              <a:cxn ang="0">
                <a:pos x="26" y="57"/>
              </a:cxn>
              <a:cxn ang="0">
                <a:pos x="26" y="57"/>
              </a:cxn>
              <a:cxn ang="0">
                <a:pos x="26" y="54"/>
              </a:cxn>
              <a:cxn ang="0">
                <a:pos x="26" y="51"/>
              </a:cxn>
              <a:cxn ang="0">
                <a:pos x="29" y="48"/>
              </a:cxn>
              <a:cxn ang="0">
                <a:pos x="29" y="43"/>
              </a:cxn>
              <a:cxn ang="0">
                <a:pos x="32" y="40"/>
              </a:cxn>
              <a:cxn ang="0">
                <a:pos x="32" y="37"/>
              </a:cxn>
              <a:cxn ang="0">
                <a:pos x="32" y="34"/>
              </a:cxn>
              <a:cxn ang="0">
                <a:pos x="35" y="28"/>
              </a:cxn>
              <a:cxn ang="0">
                <a:pos x="35" y="25"/>
              </a:cxn>
              <a:cxn ang="0">
                <a:pos x="35" y="23"/>
              </a:cxn>
              <a:cxn ang="0">
                <a:pos x="35" y="20"/>
              </a:cxn>
              <a:cxn ang="0">
                <a:pos x="35" y="17"/>
              </a:cxn>
              <a:cxn ang="0">
                <a:pos x="38" y="14"/>
              </a:cxn>
              <a:cxn ang="0">
                <a:pos x="38" y="5"/>
              </a:cxn>
              <a:cxn ang="0">
                <a:pos x="38" y="2"/>
              </a:cxn>
              <a:cxn ang="0">
                <a:pos x="38" y="0"/>
              </a:cxn>
              <a:cxn ang="0">
                <a:pos x="11" y="0"/>
              </a:cxn>
              <a:cxn ang="0">
                <a:pos x="8" y="2"/>
              </a:cxn>
              <a:cxn ang="0">
                <a:pos x="8" y="5"/>
              </a:cxn>
              <a:cxn ang="0">
                <a:pos x="8" y="8"/>
              </a:cxn>
              <a:cxn ang="0">
                <a:pos x="8" y="11"/>
              </a:cxn>
              <a:cxn ang="0">
                <a:pos x="8" y="14"/>
              </a:cxn>
              <a:cxn ang="0">
                <a:pos x="8" y="17"/>
              </a:cxn>
              <a:cxn ang="0">
                <a:pos x="8" y="20"/>
              </a:cxn>
              <a:cxn ang="0">
                <a:pos x="6" y="25"/>
              </a:cxn>
              <a:cxn ang="0">
                <a:pos x="6" y="28"/>
              </a:cxn>
              <a:cxn ang="0">
                <a:pos x="6" y="31"/>
              </a:cxn>
              <a:cxn ang="0">
                <a:pos x="6" y="34"/>
              </a:cxn>
              <a:cxn ang="0">
                <a:pos x="3" y="37"/>
              </a:cxn>
              <a:cxn ang="0">
                <a:pos x="3" y="37"/>
              </a:cxn>
              <a:cxn ang="0">
                <a:pos x="3" y="40"/>
              </a:cxn>
              <a:cxn ang="0">
                <a:pos x="0" y="43"/>
              </a:cxn>
              <a:cxn ang="0">
                <a:pos x="0" y="46"/>
              </a:cxn>
              <a:cxn ang="0">
                <a:pos x="0" y="46"/>
              </a:cxn>
              <a:cxn ang="0">
                <a:pos x="26" y="57"/>
              </a:cxn>
            </a:cxnLst>
            <a:rect l="0" t="0" r="r" b="b"/>
            <a:pathLst>
              <a:path w="38" h="57">
                <a:moveTo>
                  <a:pt x="26" y="57"/>
                </a:moveTo>
                <a:lnTo>
                  <a:pt x="26" y="57"/>
                </a:lnTo>
                <a:lnTo>
                  <a:pt x="26" y="54"/>
                </a:lnTo>
                <a:lnTo>
                  <a:pt x="26" y="51"/>
                </a:lnTo>
                <a:lnTo>
                  <a:pt x="29" y="48"/>
                </a:lnTo>
                <a:lnTo>
                  <a:pt x="29" y="43"/>
                </a:lnTo>
                <a:lnTo>
                  <a:pt x="32" y="40"/>
                </a:lnTo>
                <a:lnTo>
                  <a:pt x="32" y="37"/>
                </a:lnTo>
                <a:lnTo>
                  <a:pt x="32" y="34"/>
                </a:lnTo>
                <a:lnTo>
                  <a:pt x="35" y="28"/>
                </a:lnTo>
                <a:lnTo>
                  <a:pt x="35" y="25"/>
                </a:lnTo>
                <a:lnTo>
                  <a:pt x="35" y="23"/>
                </a:lnTo>
                <a:lnTo>
                  <a:pt x="35" y="20"/>
                </a:lnTo>
                <a:lnTo>
                  <a:pt x="35" y="17"/>
                </a:lnTo>
                <a:lnTo>
                  <a:pt x="38" y="14"/>
                </a:lnTo>
                <a:lnTo>
                  <a:pt x="38" y="5"/>
                </a:lnTo>
                <a:lnTo>
                  <a:pt x="38" y="2"/>
                </a:lnTo>
                <a:lnTo>
                  <a:pt x="38" y="0"/>
                </a:lnTo>
                <a:lnTo>
                  <a:pt x="11" y="0"/>
                </a:lnTo>
                <a:lnTo>
                  <a:pt x="8" y="2"/>
                </a:lnTo>
                <a:lnTo>
                  <a:pt x="8" y="5"/>
                </a:lnTo>
                <a:lnTo>
                  <a:pt x="8" y="8"/>
                </a:lnTo>
                <a:lnTo>
                  <a:pt x="8" y="11"/>
                </a:lnTo>
                <a:lnTo>
                  <a:pt x="8" y="14"/>
                </a:lnTo>
                <a:lnTo>
                  <a:pt x="8" y="17"/>
                </a:lnTo>
                <a:lnTo>
                  <a:pt x="8" y="20"/>
                </a:lnTo>
                <a:lnTo>
                  <a:pt x="6" y="25"/>
                </a:lnTo>
                <a:lnTo>
                  <a:pt x="6" y="28"/>
                </a:lnTo>
                <a:lnTo>
                  <a:pt x="6" y="31"/>
                </a:lnTo>
                <a:lnTo>
                  <a:pt x="6" y="34"/>
                </a:lnTo>
                <a:lnTo>
                  <a:pt x="3" y="37"/>
                </a:lnTo>
                <a:lnTo>
                  <a:pt x="3" y="37"/>
                </a:lnTo>
                <a:lnTo>
                  <a:pt x="3" y="40"/>
                </a:lnTo>
                <a:lnTo>
                  <a:pt x="0" y="43"/>
                </a:lnTo>
                <a:lnTo>
                  <a:pt x="0" y="46"/>
                </a:lnTo>
                <a:lnTo>
                  <a:pt x="0" y="46"/>
                </a:lnTo>
                <a:lnTo>
                  <a:pt x="26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2" name="Freeform 141">
            <a:extLst>
              <a:ext uri="{FF2B5EF4-FFF2-40B4-BE49-F238E27FC236}">
                <a16:creationId xmlns:a16="http://schemas.microsoft.com/office/drawing/2014/main" id="{00000000-0008-0000-0100-00008E000000}"/>
              </a:ext>
            </a:extLst>
          </xdr:cNvPr>
          <xdr:cNvSpPr/>
        </xdr:nvSpPr>
        <xdr:spPr>
          <a:xfrm>
            <a:off x="10632" y="9958"/>
            <a:ext cx="53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18" y="57"/>
              </a:cxn>
              <a:cxn ang="0">
                <a:pos x="24" y="51"/>
              </a:cxn>
              <a:cxn ang="0">
                <a:pos x="30" y="49"/>
              </a:cxn>
              <a:cxn ang="0">
                <a:pos x="35" y="43"/>
              </a:cxn>
              <a:cxn ang="0">
                <a:pos x="38" y="37"/>
              </a:cxn>
              <a:cxn ang="0">
                <a:pos x="44" y="31"/>
              </a:cxn>
              <a:cxn ang="0">
                <a:pos x="47" y="26"/>
              </a:cxn>
              <a:cxn ang="0">
                <a:pos x="50" y="17"/>
              </a:cxn>
              <a:cxn ang="0">
                <a:pos x="53" y="11"/>
              </a:cxn>
              <a:cxn ang="0">
                <a:pos x="27" y="0"/>
              </a:cxn>
              <a:cxn ang="0">
                <a:pos x="24" y="5"/>
              </a:cxn>
              <a:cxn ang="0">
                <a:pos x="24" y="11"/>
              </a:cxn>
              <a:cxn ang="0">
                <a:pos x="18" y="17"/>
              </a:cxn>
              <a:cxn ang="0">
                <a:pos x="15" y="20"/>
              </a:cxn>
              <a:cxn ang="0">
                <a:pos x="12" y="26"/>
              </a:cxn>
              <a:cxn ang="0">
                <a:pos x="9" y="28"/>
              </a:cxn>
              <a:cxn ang="0">
                <a:pos x="6" y="31"/>
              </a:cxn>
              <a:cxn ang="0">
                <a:pos x="0" y="34"/>
              </a:cxn>
              <a:cxn ang="0">
                <a:pos x="3" y="34"/>
              </a:cxn>
              <a:cxn ang="0">
                <a:pos x="18" y="57"/>
              </a:cxn>
            </a:cxnLst>
            <a:rect l="0" t="0" r="r" b="b"/>
            <a:pathLst>
              <a:path w="53" h="57">
                <a:moveTo>
                  <a:pt x="18" y="57"/>
                </a:moveTo>
                <a:lnTo>
                  <a:pt x="18" y="57"/>
                </a:lnTo>
                <a:lnTo>
                  <a:pt x="24" y="51"/>
                </a:lnTo>
                <a:lnTo>
                  <a:pt x="30" y="49"/>
                </a:lnTo>
                <a:lnTo>
                  <a:pt x="35" y="43"/>
                </a:lnTo>
                <a:lnTo>
                  <a:pt x="38" y="37"/>
                </a:lnTo>
                <a:lnTo>
                  <a:pt x="44" y="31"/>
                </a:lnTo>
                <a:lnTo>
                  <a:pt x="47" y="26"/>
                </a:lnTo>
                <a:lnTo>
                  <a:pt x="50" y="17"/>
                </a:lnTo>
                <a:lnTo>
                  <a:pt x="53" y="11"/>
                </a:lnTo>
                <a:lnTo>
                  <a:pt x="27" y="0"/>
                </a:lnTo>
                <a:lnTo>
                  <a:pt x="24" y="5"/>
                </a:lnTo>
                <a:lnTo>
                  <a:pt x="24" y="11"/>
                </a:lnTo>
                <a:lnTo>
                  <a:pt x="18" y="17"/>
                </a:lnTo>
                <a:lnTo>
                  <a:pt x="15" y="20"/>
                </a:lnTo>
                <a:lnTo>
                  <a:pt x="12" y="26"/>
                </a:lnTo>
                <a:lnTo>
                  <a:pt x="9" y="28"/>
                </a:lnTo>
                <a:lnTo>
                  <a:pt x="6" y="31"/>
                </a:lnTo>
                <a:lnTo>
                  <a:pt x="0" y="34"/>
                </a:lnTo>
                <a:lnTo>
                  <a:pt x="3" y="34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3" name="Freeform 142">
            <a:extLst>
              <a:ext uri="{FF2B5EF4-FFF2-40B4-BE49-F238E27FC236}">
                <a16:creationId xmlns:a16="http://schemas.microsoft.com/office/drawing/2014/main" id="{00000000-0008-0000-0100-00008F000000}"/>
              </a:ext>
            </a:extLst>
          </xdr:cNvPr>
          <xdr:cNvSpPr/>
        </xdr:nvSpPr>
        <xdr:spPr>
          <a:xfrm>
            <a:off x="10588" y="9992"/>
            <a:ext cx="62" cy="40"/>
          </a:xfrm>
          <a:custGeom>
            <a:avLst/>
            <a:gdLst/>
            <a:ahLst/>
            <a:cxnLst>
              <a:cxn ang="0">
                <a:pos x="0" y="40"/>
              </a:cxn>
              <a:cxn ang="0">
                <a:pos x="0" y="40"/>
              </a:cxn>
              <a:cxn ang="0">
                <a:pos x="6" y="40"/>
              </a:cxn>
              <a:cxn ang="0">
                <a:pos x="9" y="40"/>
              </a:cxn>
              <a:cxn ang="0">
                <a:pos x="12" y="40"/>
              </a:cxn>
              <a:cxn ang="0">
                <a:pos x="18" y="40"/>
              </a:cxn>
              <a:cxn ang="0">
                <a:pos x="24" y="40"/>
              </a:cxn>
              <a:cxn ang="0">
                <a:pos x="27" y="40"/>
              </a:cxn>
              <a:cxn ang="0">
                <a:pos x="29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50" y="32"/>
              </a:cxn>
              <a:cxn ang="0">
                <a:pos x="50" y="29"/>
              </a:cxn>
              <a:cxn ang="0">
                <a:pos x="59" y="26"/>
              </a:cxn>
              <a:cxn ang="0">
                <a:pos x="59" y="26"/>
              </a:cxn>
              <a:cxn ang="0">
                <a:pos x="62" y="23"/>
              </a:cxn>
              <a:cxn ang="0">
                <a:pos x="47" y="0"/>
              </a:cxn>
              <a:cxn ang="0">
                <a:pos x="44" y="3"/>
              </a:cxn>
              <a:cxn ang="0">
                <a:pos x="41" y="6"/>
              </a:cxn>
              <a:cxn ang="0">
                <a:pos x="41" y="3"/>
              </a:cxn>
              <a:cxn ang="0">
                <a:pos x="38" y="6"/>
              </a:cxn>
              <a:cxn ang="0">
                <a:pos x="35" y="6"/>
              </a:cxn>
              <a:cxn ang="0">
                <a:pos x="32" y="9"/>
              </a:cxn>
              <a:cxn ang="0">
                <a:pos x="29" y="9"/>
              </a:cxn>
              <a:cxn ang="0">
                <a:pos x="27" y="12"/>
              </a:cxn>
              <a:cxn ang="0">
                <a:pos x="24" y="12"/>
              </a:cxn>
              <a:cxn ang="0">
                <a:pos x="21" y="12"/>
              </a:cxn>
              <a:cxn ang="0">
                <a:pos x="18" y="12"/>
              </a:cxn>
              <a:cxn ang="0">
                <a:pos x="15" y="12"/>
              </a:cxn>
              <a:cxn ang="0">
                <a:pos x="12" y="15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0"/>
              </a:cxn>
            </a:cxnLst>
            <a:rect l="0" t="0" r="r" b="b"/>
            <a:pathLst>
              <a:path w="62" h="40">
                <a:moveTo>
                  <a:pt x="0" y="40"/>
                </a:moveTo>
                <a:lnTo>
                  <a:pt x="0" y="40"/>
                </a:lnTo>
                <a:lnTo>
                  <a:pt x="6" y="40"/>
                </a:lnTo>
                <a:lnTo>
                  <a:pt x="9" y="40"/>
                </a:lnTo>
                <a:lnTo>
                  <a:pt x="12" y="40"/>
                </a:lnTo>
                <a:lnTo>
                  <a:pt x="18" y="40"/>
                </a:lnTo>
                <a:lnTo>
                  <a:pt x="24" y="40"/>
                </a:lnTo>
                <a:lnTo>
                  <a:pt x="27" y="40"/>
                </a:lnTo>
                <a:lnTo>
                  <a:pt x="29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50" y="32"/>
                </a:lnTo>
                <a:lnTo>
                  <a:pt x="50" y="29"/>
                </a:lnTo>
                <a:lnTo>
                  <a:pt x="59" y="26"/>
                </a:lnTo>
                <a:lnTo>
                  <a:pt x="59" y="26"/>
                </a:lnTo>
                <a:lnTo>
                  <a:pt x="62" y="23"/>
                </a:lnTo>
                <a:lnTo>
                  <a:pt x="47" y="0"/>
                </a:lnTo>
                <a:lnTo>
                  <a:pt x="44" y="3"/>
                </a:lnTo>
                <a:lnTo>
                  <a:pt x="41" y="6"/>
                </a:lnTo>
                <a:lnTo>
                  <a:pt x="41" y="3"/>
                </a:lnTo>
                <a:lnTo>
                  <a:pt x="38" y="6"/>
                </a:lnTo>
                <a:lnTo>
                  <a:pt x="35" y="6"/>
                </a:lnTo>
                <a:lnTo>
                  <a:pt x="32" y="9"/>
                </a:lnTo>
                <a:lnTo>
                  <a:pt x="29" y="9"/>
                </a:lnTo>
                <a:lnTo>
                  <a:pt x="27" y="12"/>
                </a:lnTo>
                <a:lnTo>
                  <a:pt x="24" y="12"/>
                </a:lnTo>
                <a:lnTo>
                  <a:pt x="21" y="12"/>
                </a:lnTo>
                <a:lnTo>
                  <a:pt x="18" y="12"/>
                </a:lnTo>
                <a:lnTo>
                  <a:pt x="15" y="12"/>
                </a:lnTo>
                <a:lnTo>
                  <a:pt x="12" y="15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4" name="Freeform 143">
            <a:extLst>
              <a:ext uri="{FF2B5EF4-FFF2-40B4-BE49-F238E27FC236}">
                <a16:creationId xmlns:a16="http://schemas.microsoft.com/office/drawing/2014/main" id="{00000000-0008-0000-0100-000090000000}"/>
              </a:ext>
            </a:extLst>
          </xdr:cNvPr>
          <xdr:cNvSpPr/>
        </xdr:nvSpPr>
        <xdr:spPr>
          <a:xfrm>
            <a:off x="10529" y="10007"/>
            <a:ext cx="59" cy="25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5"/>
              </a:cxn>
              <a:cxn ang="0">
                <a:pos x="59" y="25"/>
              </a:cxn>
              <a:cxn ang="0">
                <a:pos x="59" y="0"/>
              </a:cxn>
              <a:cxn ang="0">
                <a:pos x="18" y="0"/>
              </a:cxn>
              <a:cxn ang="0">
                <a:pos x="33" y="14"/>
              </a:cxn>
              <a:cxn ang="0">
                <a:pos x="3" y="11"/>
              </a:cxn>
              <a:cxn ang="0">
                <a:pos x="0" y="25"/>
              </a:cxn>
              <a:cxn ang="0">
                <a:pos x="18" y="25"/>
              </a:cxn>
              <a:cxn ang="0">
                <a:pos x="3" y="11"/>
              </a:cxn>
            </a:cxnLst>
            <a:rect l="0" t="0" r="r" b="b"/>
            <a:pathLst>
              <a:path w="59" h="25">
                <a:moveTo>
                  <a:pt x="3" y="11"/>
                </a:moveTo>
                <a:lnTo>
                  <a:pt x="18" y="25"/>
                </a:lnTo>
                <a:lnTo>
                  <a:pt x="59" y="25"/>
                </a:lnTo>
                <a:lnTo>
                  <a:pt x="59" y="0"/>
                </a:lnTo>
                <a:lnTo>
                  <a:pt x="18" y="0"/>
                </a:lnTo>
                <a:lnTo>
                  <a:pt x="33" y="14"/>
                </a:lnTo>
                <a:lnTo>
                  <a:pt x="3" y="11"/>
                </a:lnTo>
                <a:lnTo>
                  <a:pt x="0" y="25"/>
                </a:lnTo>
                <a:lnTo>
                  <a:pt x="18" y="25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5" name="Freeform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10600" y="9955"/>
            <a:ext cx="35" cy="34"/>
          </a:xfrm>
          <a:custGeom>
            <a:avLst/>
            <a:gdLst/>
            <a:ahLst/>
            <a:cxnLst>
              <a:cxn ang="0">
                <a:pos x="12" y="0"/>
              </a:cxn>
              <a:cxn ang="0">
                <a:pos x="12" y="0"/>
              </a:cxn>
              <a:cxn ang="0">
                <a:pos x="9" y="3"/>
              </a:cxn>
              <a:cxn ang="0">
                <a:pos x="9" y="3"/>
              </a:cxn>
              <a:cxn ang="0">
                <a:pos x="6" y="5"/>
              </a:cxn>
              <a:cxn ang="0">
                <a:pos x="6" y="5"/>
              </a:cxn>
              <a:cxn ang="0">
                <a:pos x="3" y="5"/>
              </a:cxn>
              <a:cxn ang="0">
                <a:pos x="6" y="5"/>
              </a:cxn>
              <a:cxn ang="0">
                <a:pos x="3" y="8"/>
              </a:cxn>
              <a:cxn ang="0">
                <a:pos x="0" y="8"/>
              </a:cxn>
              <a:cxn ang="0">
                <a:pos x="0" y="34"/>
              </a:cxn>
              <a:cxn ang="0">
                <a:pos x="6" y="34"/>
              </a:cxn>
              <a:cxn ang="0">
                <a:pos x="9" y="34"/>
              </a:cxn>
              <a:cxn ang="0">
                <a:pos x="17" y="31"/>
              </a:cxn>
              <a:cxn ang="0">
                <a:pos x="20" y="29"/>
              </a:cxn>
              <a:cxn ang="0">
                <a:pos x="23" y="26"/>
              </a:cxn>
              <a:cxn ang="0">
                <a:pos x="26" y="23"/>
              </a:cxn>
              <a:cxn ang="0">
                <a:pos x="32" y="20"/>
              </a:cxn>
              <a:cxn ang="0">
                <a:pos x="35" y="14"/>
              </a:cxn>
              <a:cxn ang="0">
                <a:pos x="35" y="14"/>
              </a:cxn>
              <a:cxn ang="0">
                <a:pos x="12" y="0"/>
              </a:cxn>
            </a:cxnLst>
            <a:rect l="0" t="0" r="r" b="b"/>
            <a:pathLst>
              <a:path w="35" h="34">
                <a:moveTo>
                  <a:pt x="12" y="0"/>
                </a:moveTo>
                <a:lnTo>
                  <a:pt x="12" y="0"/>
                </a:lnTo>
                <a:lnTo>
                  <a:pt x="9" y="3"/>
                </a:lnTo>
                <a:lnTo>
                  <a:pt x="9" y="3"/>
                </a:lnTo>
                <a:lnTo>
                  <a:pt x="6" y="5"/>
                </a:lnTo>
                <a:lnTo>
                  <a:pt x="6" y="5"/>
                </a:lnTo>
                <a:lnTo>
                  <a:pt x="3" y="5"/>
                </a:lnTo>
                <a:lnTo>
                  <a:pt x="6" y="5"/>
                </a:lnTo>
                <a:lnTo>
                  <a:pt x="3" y="8"/>
                </a:lnTo>
                <a:lnTo>
                  <a:pt x="0" y="8"/>
                </a:lnTo>
                <a:lnTo>
                  <a:pt x="0" y="34"/>
                </a:lnTo>
                <a:lnTo>
                  <a:pt x="6" y="34"/>
                </a:lnTo>
                <a:lnTo>
                  <a:pt x="9" y="34"/>
                </a:lnTo>
                <a:lnTo>
                  <a:pt x="17" y="31"/>
                </a:lnTo>
                <a:lnTo>
                  <a:pt x="20" y="29"/>
                </a:lnTo>
                <a:lnTo>
                  <a:pt x="23" y="26"/>
                </a:lnTo>
                <a:lnTo>
                  <a:pt x="26" y="23"/>
                </a:lnTo>
                <a:lnTo>
                  <a:pt x="32" y="20"/>
                </a:lnTo>
                <a:lnTo>
                  <a:pt x="35" y="14"/>
                </a:lnTo>
                <a:lnTo>
                  <a:pt x="35" y="14"/>
                </a:lnTo>
                <a:lnTo>
                  <a:pt x="1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6" name="Freeform 145">
            <a:extLst>
              <a:ext uri="{FF2B5EF4-FFF2-40B4-BE49-F238E27FC236}">
                <a16:creationId xmlns:a16="http://schemas.microsoft.com/office/drawing/2014/main" id="{00000000-0008-0000-0100-000092000000}"/>
              </a:ext>
            </a:extLst>
          </xdr:cNvPr>
          <xdr:cNvSpPr/>
        </xdr:nvSpPr>
        <xdr:spPr>
          <a:xfrm>
            <a:off x="10612" y="9932"/>
            <a:ext cx="35" cy="37"/>
          </a:xfrm>
          <a:custGeom>
            <a:avLst/>
            <a:gdLst/>
            <a:ahLst/>
            <a:cxnLst>
              <a:cxn ang="0">
                <a:pos x="8" y="0"/>
              </a:cxn>
              <a:cxn ang="0">
                <a:pos x="8" y="0"/>
              </a:cxn>
              <a:cxn ang="0">
                <a:pos x="5" y="3"/>
              </a:cxn>
              <a:cxn ang="0">
                <a:pos x="5" y="5"/>
              </a:cxn>
              <a:cxn ang="0">
                <a:pos x="5" y="8"/>
              </a:cxn>
              <a:cxn ang="0">
                <a:pos x="3" y="11"/>
              </a:cxn>
              <a:cxn ang="0">
                <a:pos x="3" y="17"/>
              </a:cxn>
              <a:cxn ang="0">
                <a:pos x="0" y="20"/>
              </a:cxn>
              <a:cxn ang="0">
                <a:pos x="0" y="20"/>
              </a:cxn>
              <a:cxn ang="0">
                <a:pos x="0" y="23"/>
              </a:cxn>
              <a:cxn ang="0">
                <a:pos x="23" y="37"/>
              </a:cxn>
              <a:cxn ang="0">
                <a:pos x="26" y="34"/>
              </a:cxn>
              <a:cxn ang="0">
                <a:pos x="26" y="28"/>
              </a:cxn>
              <a:cxn ang="0">
                <a:pos x="29" y="23"/>
              </a:cxn>
              <a:cxn ang="0">
                <a:pos x="29" y="20"/>
              </a:cxn>
              <a:cxn ang="0">
                <a:pos x="32" y="17"/>
              </a:cxn>
              <a:cxn ang="0">
                <a:pos x="32" y="11"/>
              </a:cxn>
              <a:cxn ang="0">
                <a:pos x="35" y="8"/>
              </a:cxn>
              <a:cxn ang="0">
                <a:pos x="35" y="3"/>
              </a:cxn>
              <a:cxn ang="0">
                <a:pos x="35" y="0"/>
              </a:cxn>
              <a:cxn ang="0">
                <a:pos x="8" y="0"/>
              </a:cxn>
            </a:cxnLst>
            <a:rect l="0" t="0" r="r" b="b"/>
            <a:pathLst>
              <a:path w="35" h="37">
                <a:moveTo>
                  <a:pt x="8" y="0"/>
                </a:moveTo>
                <a:lnTo>
                  <a:pt x="8" y="0"/>
                </a:lnTo>
                <a:lnTo>
                  <a:pt x="5" y="3"/>
                </a:lnTo>
                <a:lnTo>
                  <a:pt x="5" y="5"/>
                </a:lnTo>
                <a:lnTo>
                  <a:pt x="5" y="8"/>
                </a:lnTo>
                <a:lnTo>
                  <a:pt x="3" y="11"/>
                </a:lnTo>
                <a:lnTo>
                  <a:pt x="3" y="17"/>
                </a:lnTo>
                <a:lnTo>
                  <a:pt x="0" y="20"/>
                </a:lnTo>
                <a:lnTo>
                  <a:pt x="0" y="20"/>
                </a:lnTo>
                <a:lnTo>
                  <a:pt x="0" y="23"/>
                </a:lnTo>
                <a:lnTo>
                  <a:pt x="23" y="37"/>
                </a:lnTo>
                <a:lnTo>
                  <a:pt x="26" y="34"/>
                </a:lnTo>
                <a:lnTo>
                  <a:pt x="26" y="28"/>
                </a:lnTo>
                <a:lnTo>
                  <a:pt x="29" y="23"/>
                </a:lnTo>
                <a:lnTo>
                  <a:pt x="29" y="20"/>
                </a:lnTo>
                <a:lnTo>
                  <a:pt x="32" y="17"/>
                </a:lnTo>
                <a:lnTo>
                  <a:pt x="32" y="11"/>
                </a:lnTo>
                <a:lnTo>
                  <a:pt x="35" y="8"/>
                </a:lnTo>
                <a:lnTo>
                  <a:pt x="35" y="3"/>
                </a:lnTo>
                <a:lnTo>
                  <a:pt x="35" y="0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7" name="Freeform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/>
        </xdr:nvSpPr>
        <xdr:spPr>
          <a:xfrm>
            <a:off x="10617" y="9926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8" name="Freeform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10617" y="9920"/>
            <a:ext cx="30" cy="6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3" y="0"/>
              </a:cxn>
            </a:cxnLst>
            <a:rect l="0" t="0" r="r" b="b"/>
            <a:pathLst>
              <a:path w="30" h="6">
                <a:moveTo>
                  <a:pt x="3" y="0"/>
                </a:moveTo>
                <a:lnTo>
                  <a:pt x="3" y="0"/>
                </a:ln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9" name="Freeform 148">
            <a:extLst>
              <a:ext uri="{FF2B5EF4-FFF2-40B4-BE49-F238E27FC236}">
                <a16:creationId xmlns:a16="http://schemas.microsoft.com/office/drawing/2014/main" id="{00000000-0008-0000-0100-000095000000}"/>
              </a:ext>
            </a:extLst>
          </xdr:cNvPr>
          <xdr:cNvSpPr/>
        </xdr:nvSpPr>
        <xdr:spPr>
          <a:xfrm>
            <a:off x="10620" y="9914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27" y="6"/>
              </a:cxn>
              <a:cxn ang="0">
                <a:pos x="27" y="3"/>
              </a:cxn>
              <a:cxn ang="0">
                <a:pos x="27" y="3"/>
              </a:cxn>
              <a:cxn ang="0">
                <a:pos x="27" y="0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27" y="6"/>
                </a:lnTo>
                <a:lnTo>
                  <a:pt x="27" y="3"/>
                </a:lnTo>
                <a:lnTo>
                  <a:pt x="27" y="3"/>
                </a:lnTo>
                <a:lnTo>
                  <a:pt x="27" y="0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0" name="Freeform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/>
        </xdr:nvSpPr>
        <xdr:spPr>
          <a:xfrm>
            <a:off x="10600" y="9871"/>
            <a:ext cx="47" cy="43"/>
          </a:xfrm>
          <a:custGeom>
            <a:avLst/>
            <a:gdLst/>
            <a:ahLst/>
            <a:cxnLst>
              <a:cxn ang="0">
                <a:pos x="29" y="15"/>
              </a:cxn>
              <a:cxn ang="0">
                <a:pos x="15" y="26"/>
              </a:cxn>
              <a:cxn ang="0">
                <a:pos x="17" y="29"/>
              </a:cxn>
              <a:cxn ang="0">
                <a:pos x="17" y="29"/>
              </a:cxn>
              <a:cxn ang="0">
                <a:pos x="17" y="29"/>
              </a:cxn>
              <a:cxn ang="0">
                <a:pos x="17" y="29"/>
              </a:cxn>
              <a:cxn ang="0">
                <a:pos x="17" y="32"/>
              </a:cxn>
              <a:cxn ang="0">
                <a:pos x="20" y="35"/>
              </a:cxn>
              <a:cxn ang="0">
                <a:pos x="20" y="38"/>
              </a:cxn>
              <a:cxn ang="0">
                <a:pos x="20" y="43"/>
              </a:cxn>
              <a:cxn ang="0">
                <a:pos x="47" y="43"/>
              </a:cxn>
              <a:cxn ang="0">
                <a:pos x="47" y="35"/>
              </a:cxn>
              <a:cxn ang="0">
                <a:pos x="47" y="26"/>
              </a:cxn>
              <a:cxn ang="0">
                <a:pos x="44" y="20"/>
              </a:cxn>
              <a:cxn ang="0">
                <a:pos x="41" y="15"/>
              </a:cxn>
              <a:cxn ang="0">
                <a:pos x="35" y="9"/>
              </a:cxn>
              <a:cxn ang="0">
                <a:pos x="29" y="3"/>
              </a:cxn>
              <a:cxn ang="0">
                <a:pos x="20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9" y="15"/>
              </a:cxn>
            </a:cxnLst>
            <a:rect l="0" t="0" r="r" b="b"/>
            <a:pathLst>
              <a:path w="47" h="43">
                <a:moveTo>
                  <a:pt x="29" y="15"/>
                </a:moveTo>
                <a:lnTo>
                  <a:pt x="15" y="26"/>
                </a:lnTo>
                <a:lnTo>
                  <a:pt x="17" y="29"/>
                </a:lnTo>
                <a:lnTo>
                  <a:pt x="17" y="29"/>
                </a:lnTo>
                <a:lnTo>
                  <a:pt x="17" y="29"/>
                </a:lnTo>
                <a:lnTo>
                  <a:pt x="17" y="29"/>
                </a:lnTo>
                <a:lnTo>
                  <a:pt x="17" y="32"/>
                </a:lnTo>
                <a:lnTo>
                  <a:pt x="20" y="35"/>
                </a:lnTo>
                <a:lnTo>
                  <a:pt x="20" y="38"/>
                </a:lnTo>
                <a:lnTo>
                  <a:pt x="20" y="43"/>
                </a:lnTo>
                <a:lnTo>
                  <a:pt x="47" y="43"/>
                </a:lnTo>
                <a:lnTo>
                  <a:pt x="47" y="35"/>
                </a:lnTo>
                <a:lnTo>
                  <a:pt x="47" y="26"/>
                </a:lnTo>
                <a:lnTo>
                  <a:pt x="44" y="20"/>
                </a:lnTo>
                <a:lnTo>
                  <a:pt x="41" y="15"/>
                </a:lnTo>
                <a:lnTo>
                  <a:pt x="35" y="9"/>
                </a:lnTo>
                <a:lnTo>
                  <a:pt x="29" y="3"/>
                </a:lnTo>
                <a:lnTo>
                  <a:pt x="20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9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1" name="Freeform 150">
            <a:extLst>
              <a:ext uri="{FF2B5EF4-FFF2-40B4-BE49-F238E27FC236}">
                <a16:creationId xmlns:a16="http://schemas.microsoft.com/office/drawing/2014/main" id="{00000000-0008-0000-0100-000097000000}"/>
              </a:ext>
            </a:extLst>
          </xdr:cNvPr>
          <xdr:cNvSpPr/>
        </xdr:nvSpPr>
        <xdr:spPr>
          <a:xfrm>
            <a:off x="10585" y="9883"/>
            <a:ext cx="44" cy="106"/>
          </a:xfrm>
          <a:custGeom>
            <a:avLst/>
            <a:gdLst/>
            <a:ahLst/>
            <a:cxnLst>
              <a:cxn ang="0">
                <a:pos x="15" y="77"/>
              </a:cxn>
              <a:cxn ang="0">
                <a:pos x="30" y="95"/>
              </a:cxn>
              <a:cxn ang="0">
                <a:pos x="44" y="3"/>
              </a:cxn>
              <a:cxn ang="0">
                <a:pos x="15" y="0"/>
              </a:cxn>
              <a:cxn ang="0">
                <a:pos x="3" y="92"/>
              </a:cxn>
              <a:cxn ang="0">
                <a:pos x="15" y="106"/>
              </a:cxn>
              <a:cxn ang="0">
                <a:pos x="3" y="92"/>
              </a:cxn>
              <a:cxn ang="0">
                <a:pos x="0" y="106"/>
              </a:cxn>
              <a:cxn ang="0">
                <a:pos x="15" y="106"/>
              </a:cxn>
              <a:cxn ang="0">
                <a:pos x="15" y="77"/>
              </a:cxn>
            </a:cxnLst>
            <a:rect l="0" t="0" r="r" b="b"/>
            <a:pathLst>
              <a:path w="44" h="106">
                <a:moveTo>
                  <a:pt x="15" y="77"/>
                </a:moveTo>
                <a:lnTo>
                  <a:pt x="30" y="95"/>
                </a:lnTo>
                <a:lnTo>
                  <a:pt x="44" y="3"/>
                </a:lnTo>
                <a:lnTo>
                  <a:pt x="15" y="0"/>
                </a:lnTo>
                <a:lnTo>
                  <a:pt x="3" y="92"/>
                </a:lnTo>
                <a:lnTo>
                  <a:pt x="15" y="106"/>
                </a:lnTo>
                <a:lnTo>
                  <a:pt x="3" y="92"/>
                </a:lnTo>
                <a:lnTo>
                  <a:pt x="0" y="106"/>
                </a:lnTo>
                <a:lnTo>
                  <a:pt x="15" y="106"/>
                </a:lnTo>
                <a:lnTo>
                  <a:pt x="15" y="7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2" name="Freeform 151">
            <a:extLst>
              <a:ext uri="{FF2B5EF4-FFF2-40B4-BE49-F238E27FC236}">
                <a16:creationId xmlns:a16="http://schemas.microsoft.com/office/drawing/2014/main" id="{00000000-0008-0000-0100-000098000000}"/>
              </a:ext>
            </a:extLst>
          </xdr:cNvPr>
          <xdr:cNvSpPr/>
        </xdr:nvSpPr>
        <xdr:spPr>
          <a:xfrm>
            <a:off x="10656" y="9825"/>
            <a:ext cx="97" cy="199"/>
          </a:xfrm>
          <a:custGeom>
            <a:avLst/>
            <a:gdLst/>
            <a:ahLst/>
            <a:cxnLst>
              <a:cxn ang="0">
                <a:pos x="82" y="0"/>
              </a:cxn>
              <a:cxn ang="0">
                <a:pos x="70" y="9"/>
              </a:cxn>
              <a:cxn ang="0">
                <a:pos x="0" y="190"/>
              </a:cxn>
              <a:cxn ang="0">
                <a:pos x="26" y="199"/>
              </a:cxn>
              <a:cxn ang="0">
                <a:pos x="97" y="20"/>
              </a:cxn>
              <a:cxn ang="0">
                <a:pos x="82" y="29"/>
              </a:cxn>
              <a:cxn ang="0">
                <a:pos x="82" y="0"/>
              </a:cxn>
              <a:cxn ang="0">
                <a:pos x="73" y="0"/>
              </a:cxn>
              <a:cxn ang="0">
                <a:pos x="70" y="9"/>
              </a:cxn>
              <a:cxn ang="0">
                <a:pos x="82" y="0"/>
              </a:cxn>
            </a:cxnLst>
            <a:rect l="0" t="0" r="r" b="b"/>
            <a:pathLst>
              <a:path w="97" h="199">
                <a:moveTo>
                  <a:pt x="82" y="0"/>
                </a:moveTo>
                <a:lnTo>
                  <a:pt x="70" y="9"/>
                </a:lnTo>
                <a:lnTo>
                  <a:pt x="0" y="190"/>
                </a:lnTo>
                <a:lnTo>
                  <a:pt x="26" y="199"/>
                </a:lnTo>
                <a:lnTo>
                  <a:pt x="97" y="20"/>
                </a:lnTo>
                <a:lnTo>
                  <a:pt x="82" y="29"/>
                </a:lnTo>
                <a:lnTo>
                  <a:pt x="82" y="0"/>
                </a:lnTo>
                <a:lnTo>
                  <a:pt x="73" y="0"/>
                </a:lnTo>
                <a:lnTo>
                  <a:pt x="70" y="9"/>
                </a:lnTo>
                <a:lnTo>
                  <a:pt x="8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3" name="Freeform 152">
            <a:extLst>
              <a:ext uri="{FF2B5EF4-FFF2-40B4-BE49-F238E27FC236}">
                <a16:creationId xmlns:a16="http://schemas.microsoft.com/office/drawing/2014/main" id="{00000000-0008-0000-0100-000099000000}"/>
              </a:ext>
            </a:extLst>
          </xdr:cNvPr>
          <xdr:cNvSpPr/>
        </xdr:nvSpPr>
        <xdr:spPr>
          <a:xfrm>
            <a:off x="10738" y="9825"/>
            <a:ext cx="74" cy="29"/>
          </a:xfrm>
          <a:custGeom>
            <a:avLst/>
            <a:gdLst/>
            <a:ahLst/>
            <a:cxnLst>
              <a:cxn ang="0">
                <a:pos x="74" y="15"/>
              </a:cxn>
              <a:cxn ang="0">
                <a:pos x="59" y="0"/>
              </a:cxn>
              <a:cxn ang="0">
                <a:pos x="0" y="0"/>
              </a:cxn>
              <a:cxn ang="0">
                <a:pos x="0" y="29"/>
              </a:cxn>
              <a:cxn ang="0">
                <a:pos x="59" y="29"/>
              </a:cxn>
              <a:cxn ang="0">
                <a:pos x="44" y="15"/>
              </a:cxn>
              <a:cxn ang="0">
                <a:pos x="74" y="15"/>
              </a:cxn>
              <a:cxn ang="0">
                <a:pos x="74" y="0"/>
              </a:cxn>
              <a:cxn ang="0">
                <a:pos x="59" y="0"/>
              </a:cxn>
              <a:cxn ang="0">
                <a:pos x="74" y="15"/>
              </a:cxn>
            </a:cxnLst>
            <a:rect l="0" t="0" r="r" b="b"/>
            <a:pathLst>
              <a:path w="74" h="29">
                <a:moveTo>
                  <a:pt x="74" y="15"/>
                </a:moveTo>
                <a:lnTo>
                  <a:pt x="59" y="0"/>
                </a:lnTo>
                <a:lnTo>
                  <a:pt x="0" y="0"/>
                </a:lnTo>
                <a:lnTo>
                  <a:pt x="0" y="29"/>
                </a:lnTo>
                <a:lnTo>
                  <a:pt x="59" y="29"/>
                </a:lnTo>
                <a:lnTo>
                  <a:pt x="44" y="15"/>
                </a:lnTo>
                <a:lnTo>
                  <a:pt x="74" y="15"/>
                </a:lnTo>
                <a:lnTo>
                  <a:pt x="74" y="0"/>
                </a:lnTo>
                <a:lnTo>
                  <a:pt x="59" y="0"/>
                </a:lnTo>
                <a:lnTo>
                  <a:pt x="74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4" name="Freeform 153">
            <a:extLst>
              <a:ext uri="{FF2B5EF4-FFF2-40B4-BE49-F238E27FC236}">
                <a16:creationId xmlns:a16="http://schemas.microsoft.com/office/drawing/2014/main" id="{00000000-0008-0000-0100-00009A000000}"/>
              </a:ext>
            </a:extLst>
          </xdr:cNvPr>
          <xdr:cNvSpPr/>
        </xdr:nvSpPr>
        <xdr:spPr>
          <a:xfrm>
            <a:off x="10782" y="9840"/>
            <a:ext cx="33" cy="46"/>
          </a:xfrm>
          <a:custGeom>
            <a:avLst/>
            <a:gdLst/>
            <a:ahLst/>
            <a:cxnLst>
              <a:cxn ang="0">
                <a:pos x="33" y="43"/>
              </a:cxn>
              <a:cxn ang="0">
                <a:pos x="33" y="43"/>
              </a:cxn>
              <a:cxn ang="0">
                <a:pos x="33" y="37"/>
              </a:cxn>
              <a:cxn ang="0">
                <a:pos x="30" y="31"/>
              </a:cxn>
              <a:cxn ang="0">
                <a:pos x="30" y="25"/>
              </a:cxn>
              <a:cxn ang="0">
                <a:pos x="30" y="20"/>
              </a:cxn>
              <a:cxn ang="0">
                <a:pos x="30" y="14"/>
              </a:cxn>
              <a:cxn ang="0">
                <a:pos x="30" y="8"/>
              </a:cxn>
              <a:cxn ang="0">
                <a:pos x="30" y="5"/>
              </a:cxn>
              <a:cxn ang="0">
                <a:pos x="30" y="0"/>
              </a:cxn>
              <a:cxn ang="0">
                <a:pos x="0" y="0"/>
              </a:cxn>
              <a:cxn ang="0">
                <a:pos x="0" y="5"/>
              </a:cxn>
              <a:cxn ang="0">
                <a:pos x="0" y="8"/>
              </a:cxn>
              <a:cxn ang="0">
                <a:pos x="0" y="14"/>
              </a:cxn>
              <a:cxn ang="0">
                <a:pos x="3" y="23"/>
              </a:cxn>
              <a:cxn ang="0">
                <a:pos x="3" y="25"/>
              </a:cxn>
              <a:cxn ang="0">
                <a:pos x="3" y="34"/>
              </a:cxn>
              <a:cxn ang="0">
                <a:pos x="3" y="40"/>
              </a:cxn>
              <a:cxn ang="0">
                <a:pos x="3" y="46"/>
              </a:cxn>
              <a:cxn ang="0">
                <a:pos x="3" y="43"/>
              </a:cxn>
              <a:cxn ang="0">
                <a:pos x="33" y="43"/>
              </a:cxn>
            </a:cxnLst>
            <a:rect l="0" t="0" r="r" b="b"/>
            <a:pathLst>
              <a:path w="33" h="46">
                <a:moveTo>
                  <a:pt x="33" y="43"/>
                </a:moveTo>
                <a:lnTo>
                  <a:pt x="33" y="43"/>
                </a:lnTo>
                <a:lnTo>
                  <a:pt x="33" y="37"/>
                </a:lnTo>
                <a:lnTo>
                  <a:pt x="30" y="31"/>
                </a:lnTo>
                <a:lnTo>
                  <a:pt x="30" y="25"/>
                </a:lnTo>
                <a:lnTo>
                  <a:pt x="30" y="20"/>
                </a:lnTo>
                <a:lnTo>
                  <a:pt x="30" y="14"/>
                </a:lnTo>
                <a:lnTo>
                  <a:pt x="30" y="8"/>
                </a:lnTo>
                <a:lnTo>
                  <a:pt x="30" y="5"/>
                </a:lnTo>
                <a:lnTo>
                  <a:pt x="30" y="0"/>
                </a:lnTo>
                <a:lnTo>
                  <a:pt x="0" y="0"/>
                </a:lnTo>
                <a:lnTo>
                  <a:pt x="0" y="5"/>
                </a:lnTo>
                <a:lnTo>
                  <a:pt x="0" y="8"/>
                </a:lnTo>
                <a:lnTo>
                  <a:pt x="0" y="14"/>
                </a:lnTo>
                <a:lnTo>
                  <a:pt x="3" y="23"/>
                </a:lnTo>
                <a:lnTo>
                  <a:pt x="3" y="25"/>
                </a:lnTo>
                <a:lnTo>
                  <a:pt x="3" y="34"/>
                </a:lnTo>
                <a:lnTo>
                  <a:pt x="3" y="40"/>
                </a:lnTo>
                <a:lnTo>
                  <a:pt x="3" y="46"/>
                </a:lnTo>
                <a:lnTo>
                  <a:pt x="3" y="43"/>
                </a:lnTo>
                <a:lnTo>
                  <a:pt x="33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5" name="Freeform 154">
            <a:extLst>
              <a:ext uri="{FF2B5EF4-FFF2-40B4-BE49-F238E27FC236}">
                <a16:creationId xmlns:a16="http://schemas.microsoft.com/office/drawing/2014/main" id="{00000000-0008-0000-0100-00009B000000}"/>
              </a:ext>
            </a:extLst>
          </xdr:cNvPr>
          <xdr:cNvSpPr/>
        </xdr:nvSpPr>
        <xdr:spPr>
          <a:xfrm>
            <a:off x="10785" y="9883"/>
            <a:ext cx="30" cy="46"/>
          </a:xfrm>
          <a:custGeom>
            <a:avLst/>
            <a:gdLst/>
            <a:ahLst/>
            <a:cxnLst>
              <a:cxn ang="0">
                <a:pos x="30" y="43"/>
              </a:cxn>
              <a:cxn ang="0">
                <a:pos x="30" y="46"/>
              </a:cxn>
              <a:cxn ang="0">
                <a:pos x="30" y="40"/>
              </a:cxn>
              <a:cxn ang="0">
                <a:pos x="30" y="34"/>
              </a:cxn>
              <a:cxn ang="0">
                <a:pos x="30" y="29"/>
              </a:cxn>
              <a:cxn ang="0">
                <a:pos x="30" y="23"/>
              </a:cxn>
              <a:cxn ang="0">
                <a:pos x="30" y="17"/>
              </a:cxn>
              <a:cxn ang="0">
                <a:pos x="30" y="11"/>
              </a:cxn>
              <a:cxn ang="0">
                <a:pos x="30" y="5"/>
              </a:cxn>
              <a:cxn ang="0">
                <a:pos x="30" y="0"/>
              </a:cxn>
              <a:cxn ang="0">
                <a:pos x="0" y="0"/>
              </a:cxn>
              <a:cxn ang="0">
                <a:pos x="0" y="5"/>
              </a:cxn>
              <a:cxn ang="0">
                <a:pos x="0" y="11"/>
              </a:cxn>
              <a:cxn ang="0">
                <a:pos x="0" y="17"/>
              </a:cxn>
              <a:cxn ang="0">
                <a:pos x="0" y="23"/>
              </a:cxn>
              <a:cxn ang="0">
                <a:pos x="0" y="29"/>
              </a:cxn>
              <a:cxn ang="0">
                <a:pos x="0" y="34"/>
              </a:cxn>
              <a:cxn ang="0">
                <a:pos x="3" y="40"/>
              </a:cxn>
              <a:cxn ang="0">
                <a:pos x="3" y="46"/>
              </a:cxn>
              <a:cxn ang="0">
                <a:pos x="3" y="46"/>
              </a:cxn>
              <a:cxn ang="0">
                <a:pos x="30" y="43"/>
              </a:cxn>
            </a:cxnLst>
            <a:rect l="0" t="0" r="r" b="b"/>
            <a:pathLst>
              <a:path w="30" h="46">
                <a:moveTo>
                  <a:pt x="30" y="43"/>
                </a:moveTo>
                <a:lnTo>
                  <a:pt x="30" y="46"/>
                </a:lnTo>
                <a:lnTo>
                  <a:pt x="30" y="40"/>
                </a:lnTo>
                <a:lnTo>
                  <a:pt x="30" y="34"/>
                </a:lnTo>
                <a:lnTo>
                  <a:pt x="30" y="29"/>
                </a:lnTo>
                <a:lnTo>
                  <a:pt x="30" y="23"/>
                </a:lnTo>
                <a:lnTo>
                  <a:pt x="30" y="17"/>
                </a:lnTo>
                <a:lnTo>
                  <a:pt x="30" y="11"/>
                </a:lnTo>
                <a:lnTo>
                  <a:pt x="30" y="5"/>
                </a:lnTo>
                <a:lnTo>
                  <a:pt x="30" y="0"/>
                </a:lnTo>
                <a:lnTo>
                  <a:pt x="0" y="0"/>
                </a:lnTo>
                <a:lnTo>
                  <a:pt x="0" y="5"/>
                </a:lnTo>
                <a:lnTo>
                  <a:pt x="0" y="11"/>
                </a:lnTo>
                <a:lnTo>
                  <a:pt x="0" y="17"/>
                </a:lnTo>
                <a:lnTo>
                  <a:pt x="0" y="23"/>
                </a:lnTo>
                <a:lnTo>
                  <a:pt x="0" y="29"/>
                </a:lnTo>
                <a:lnTo>
                  <a:pt x="0" y="34"/>
                </a:lnTo>
                <a:lnTo>
                  <a:pt x="3" y="40"/>
                </a:lnTo>
                <a:lnTo>
                  <a:pt x="3" y="46"/>
                </a:lnTo>
                <a:lnTo>
                  <a:pt x="3" y="46"/>
                </a:lnTo>
                <a:lnTo>
                  <a:pt x="30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6" name="Freeform 155">
            <a:extLst>
              <a:ext uri="{FF2B5EF4-FFF2-40B4-BE49-F238E27FC236}">
                <a16:creationId xmlns:a16="http://schemas.microsoft.com/office/drawing/2014/main" id="{00000000-0008-0000-0100-00009C000000}"/>
              </a:ext>
            </a:extLst>
          </xdr:cNvPr>
          <xdr:cNvSpPr/>
        </xdr:nvSpPr>
        <xdr:spPr>
          <a:xfrm>
            <a:off x="10788" y="9926"/>
            <a:ext cx="30" cy="49"/>
          </a:xfrm>
          <a:custGeom>
            <a:avLst/>
            <a:gdLst/>
            <a:ahLst/>
            <a:cxnLst>
              <a:cxn ang="0">
                <a:pos x="30" y="49"/>
              </a:cxn>
              <a:cxn ang="0">
                <a:pos x="30" y="46"/>
              </a:cxn>
              <a:cxn ang="0">
                <a:pos x="30" y="40"/>
              </a:cxn>
              <a:cxn ang="0">
                <a:pos x="30" y="34"/>
              </a:cxn>
              <a:cxn ang="0">
                <a:pos x="30" y="29"/>
              </a:cxn>
              <a:cxn ang="0">
                <a:pos x="30" y="23"/>
              </a:cxn>
              <a:cxn ang="0">
                <a:pos x="30" y="17"/>
              </a:cxn>
              <a:cxn ang="0">
                <a:pos x="27" y="11"/>
              </a:cxn>
              <a:cxn ang="0">
                <a:pos x="27" y="6"/>
              </a:cxn>
              <a:cxn ang="0">
                <a:pos x="27" y="0"/>
              </a:cxn>
              <a:cxn ang="0">
                <a:pos x="0" y="3"/>
              </a:cxn>
              <a:cxn ang="0">
                <a:pos x="0" y="9"/>
              </a:cxn>
              <a:cxn ang="0">
                <a:pos x="0" y="14"/>
              </a:cxn>
              <a:cxn ang="0">
                <a:pos x="0" y="20"/>
              </a:cxn>
              <a:cxn ang="0">
                <a:pos x="0" y="26"/>
              </a:cxn>
              <a:cxn ang="0">
                <a:pos x="0" y="32"/>
              </a:cxn>
              <a:cxn ang="0">
                <a:pos x="3" y="37"/>
              </a:cxn>
              <a:cxn ang="0">
                <a:pos x="3" y="43"/>
              </a:cxn>
              <a:cxn ang="0">
                <a:pos x="3" y="49"/>
              </a:cxn>
              <a:cxn ang="0">
                <a:pos x="3" y="49"/>
              </a:cxn>
              <a:cxn ang="0">
                <a:pos x="30" y="49"/>
              </a:cxn>
            </a:cxnLst>
            <a:rect l="0" t="0" r="r" b="b"/>
            <a:pathLst>
              <a:path w="30" h="49">
                <a:moveTo>
                  <a:pt x="30" y="49"/>
                </a:moveTo>
                <a:lnTo>
                  <a:pt x="30" y="46"/>
                </a:lnTo>
                <a:lnTo>
                  <a:pt x="30" y="40"/>
                </a:lnTo>
                <a:lnTo>
                  <a:pt x="30" y="34"/>
                </a:lnTo>
                <a:lnTo>
                  <a:pt x="30" y="29"/>
                </a:lnTo>
                <a:lnTo>
                  <a:pt x="30" y="23"/>
                </a:lnTo>
                <a:lnTo>
                  <a:pt x="30" y="17"/>
                </a:lnTo>
                <a:lnTo>
                  <a:pt x="27" y="11"/>
                </a:lnTo>
                <a:lnTo>
                  <a:pt x="27" y="6"/>
                </a:lnTo>
                <a:lnTo>
                  <a:pt x="27" y="0"/>
                </a:lnTo>
                <a:lnTo>
                  <a:pt x="0" y="3"/>
                </a:lnTo>
                <a:lnTo>
                  <a:pt x="0" y="9"/>
                </a:lnTo>
                <a:lnTo>
                  <a:pt x="0" y="14"/>
                </a:lnTo>
                <a:lnTo>
                  <a:pt x="0" y="20"/>
                </a:lnTo>
                <a:lnTo>
                  <a:pt x="0" y="26"/>
                </a:lnTo>
                <a:lnTo>
                  <a:pt x="0" y="32"/>
                </a:lnTo>
                <a:lnTo>
                  <a:pt x="3" y="37"/>
                </a:lnTo>
                <a:lnTo>
                  <a:pt x="3" y="43"/>
                </a:lnTo>
                <a:lnTo>
                  <a:pt x="3" y="49"/>
                </a:lnTo>
                <a:lnTo>
                  <a:pt x="3" y="49"/>
                </a:lnTo>
                <a:lnTo>
                  <a:pt x="30" y="4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7" name="Freeform 156">
            <a:extLst>
              <a:ext uri="{FF2B5EF4-FFF2-40B4-BE49-F238E27FC236}">
                <a16:creationId xmlns:a16="http://schemas.microsoft.com/office/drawing/2014/main" id="{00000000-0008-0000-0100-00009D000000}"/>
              </a:ext>
            </a:extLst>
          </xdr:cNvPr>
          <xdr:cNvSpPr/>
        </xdr:nvSpPr>
        <xdr:spPr>
          <a:xfrm>
            <a:off x="10791" y="9975"/>
            <a:ext cx="32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29" y="43"/>
              </a:cxn>
              <a:cxn ang="0">
                <a:pos x="29" y="37"/>
              </a:cxn>
              <a:cxn ang="0">
                <a:pos x="29" y="32"/>
              </a:cxn>
              <a:cxn ang="0">
                <a:pos x="29" y="29"/>
              </a:cxn>
              <a:cxn ang="0">
                <a:pos x="29" y="20"/>
              </a:cxn>
              <a:cxn ang="0">
                <a:pos x="29" y="17"/>
              </a:cxn>
              <a:cxn ang="0">
                <a:pos x="29" y="11"/>
              </a:cxn>
              <a:cxn ang="0">
                <a:pos x="27" y="6"/>
              </a:cxn>
              <a:cxn ang="0">
                <a:pos x="27" y="0"/>
              </a:cxn>
              <a:cxn ang="0">
                <a:pos x="0" y="0"/>
              </a:cxn>
              <a:cxn ang="0">
                <a:pos x="0" y="6"/>
              </a:cxn>
              <a:cxn ang="0">
                <a:pos x="0" y="11"/>
              </a:cxn>
              <a:cxn ang="0">
                <a:pos x="0" y="17"/>
              </a:cxn>
              <a:cxn ang="0">
                <a:pos x="0" y="23"/>
              </a:cxn>
              <a:cxn ang="0">
                <a:pos x="0" y="29"/>
              </a:cxn>
              <a:cxn ang="0">
                <a:pos x="0" y="34"/>
              </a:cxn>
              <a:cxn ang="0">
                <a:pos x="3" y="40"/>
              </a:cxn>
              <a:cxn ang="0">
                <a:pos x="3" y="43"/>
              </a:cxn>
              <a:cxn ang="0">
                <a:pos x="18" y="29"/>
              </a:cxn>
              <a:cxn ang="0">
                <a:pos x="18" y="57"/>
              </a:cxn>
              <a:cxn ang="0">
                <a:pos x="32" y="57"/>
              </a:cxn>
              <a:cxn ang="0">
                <a:pos x="29" y="43"/>
              </a:cxn>
              <a:cxn ang="0">
                <a:pos x="18" y="57"/>
              </a:cxn>
            </a:cxnLst>
            <a:rect l="0" t="0" r="r" b="b"/>
            <a:pathLst>
              <a:path w="32" h="57">
                <a:moveTo>
                  <a:pt x="18" y="57"/>
                </a:moveTo>
                <a:lnTo>
                  <a:pt x="29" y="43"/>
                </a:lnTo>
                <a:lnTo>
                  <a:pt x="29" y="37"/>
                </a:lnTo>
                <a:lnTo>
                  <a:pt x="29" y="32"/>
                </a:lnTo>
                <a:lnTo>
                  <a:pt x="29" y="29"/>
                </a:lnTo>
                <a:lnTo>
                  <a:pt x="29" y="20"/>
                </a:lnTo>
                <a:lnTo>
                  <a:pt x="29" y="17"/>
                </a:lnTo>
                <a:lnTo>
                  <a:pt x="29" y="11"/>
                </a:lnTo>
                <a:lnTo>
                  <a:pt x="27" y="6"/>
                </a:lnTo>
                <a:lnTo>
                  <a:pt x="27" y="0"/>
                </a:lnTo>
                <a:lnTo>
                  <a:pt x="0" y="0"/>
                </a:lnTo>
                <a:lnTo>
                  <a:pt x="0" y="6"/>
                </a:lnTo>
                <a:lnTo>
                  <a:pt x="0" y="11"/>
                </a:lnTo>
                <a:lnTo>
                  <a:pt x="0" y="17"/>
                </a:lnTo>
                <a:lnTo>
                  <a:pt x="0" y="23"/>
                </a:lnTo>
                <a:lnTo>
                  <a:pt x="0" y="29"/>
                </a:lnTo>
                <a:lnTo>
                  <a:pt x="0" y="34"/>
                </a:lnTo>
                <a:lnTo>
                  <a:pt x="3" y="40"/>
                </a:lnTo>
                <a:lnTo>
                  <a:pt x="3" y="43"/>
                </a:lnTo>
                <a:lnTo>
                  <a:pt x="18" y="29"/>
                </a:lnTo>
                <a:lnTo>
                  <a:pt x="18" y="57"/>
                </a:lnTo>
                <a:lnTo>
                  <a:pt x="32" y="57"/>
                </a:lnTo>
                <a:lnTo>
                  <a:pt x="29" y="43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8" name="Freeform 157">
            <a:extLst>
              <a:ext uri="{FF2B5EF4-FFF2-40B4-BE49-F238E27FC236}">
                <a16:creationId xmlns:a16="http://schemas.microsoft.com/office/drawing/2014/main" id="{00000000-0008-0000-0100-00009E000000}"/>
              </a:ext>
            </a:extLst>
          </xdr:cNvPr>
          <xdr:cNvSpPr/>
        </xdr:nvSpPr>
        <xdr:spPr>
          <a:xfrm>
            <a:off x="10744" y="10004"/>
            <a:ext cx="62" cy="28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26" y="14"/>
              </a:cxn>
              <a:cxn ang="0">
                <a:pos x="0" y="14"/>
              </a:cxn>
              <a:cxn ang="0">
                <a:pos x="0" y="28"/>
              </a:cxn>
              <a:cxn ang="0">
                <a:pos x="15" y="28"/>
              </a:cxn>
              <a:cxn ang="0">
                <a:pos x="0" y="14"/>
              </a:cxn>
            </a:cxnLst>
            <a:rect l="0" t="0" r="r" b="b"/>
            <a:pathLst>
              <a:path w="62" h="28">
                <a:moveTo>
                  <a:pt x="0" y="14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26" y="14"/>
                </a:lnTo>
                <a:lnTo>
                  <a:pt x="0" y="14"/>
                </a:lnTo>
                <a:lnTo>
                  <a:pt x="0" y="28"/>
                </a:lnTo>
                <a:lnTo>
                  <a:pt x="15" y="28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9" name="Freeform 158">
            <a:extLst>
              <a:ext uri="{FF2B5EF4-FFF2-40B4-BE49-F238E27FC236}">
                <a16:creationId xmlns:a16="http://schemas.microsoft.com/office/drawing/2014/main" id="{00000000-0008-0000-0100-00009F000000}"/>
              </a:ext>
            </a:extLst>
          </xdr:cNvPr>
          <xdr:cNvSpPr/>
        </xdr:nvSpPr>
        <xdr:spPr>
          <a:xfrm>
            <a:off x="10744" y="9981"/>
            <a:ext cx="26" cy="37"/>
          </a:xfrm>
          <a:custGeom>
            <a:avLst/>
            <a:gdLst/>
            <a:ahLst/>
            <a:cxnLst>
              <a:cxn ang="0">
                <a:pos x="15" y="28"/>
              </a:cxn>
              <a:cxn ang="0">
                <a:pos x="0" y="14"/>
              </a:cxn>
              <a:cxn ang="0">
                <a:pos x="0" y="37"/>
              </a:cxn>
              <a:cxn ang="0">
                <a:pos x="26" y="37"/>
              </a:cxn>
              <a:cxn ang="0">
                <a:pos x="26" y="14"/>
              </a:cxn>
              <a:cxn ang="0">
                <a:pos x="15" y="0"/>
              </a:cxn>
              <a:cxn ang="0">
                <a:pos x="26" y="14"/>
              </a:cxn>
              <a:cxn ang="0">
                <a:pos x="26" y="0"/>
              </a:cxn>
              <a:cxn ang="0">
                <a:pos x="15" y="0"/>
              </a:cxn>
              <a:cxn ang="0">
                <a:pos x="15" y="28"/>
              </a:cxn>
            </a:cxnLst>
            <a:rect l="0" t="0" r="r" b="b"/>
            <a:pathLst>
              <a:path w="26" h="37">
                <a:moveTo>
                  <a:pt x="15" y="28"/>
                </a:moveTo>
                <a:lnTo>
                  <a:pt x="0" y="14"/>
                </a:lnTo>
                <a:lnTo>
                  <a:pt x="0" y="37"/>
                </a:lnTo>
                <a:lnTo>
                  <a:pt x="26" y="37"/>
                </a:lnTo>
                <a:lnTo>
                  <a:pt x="26" y="14"/>
                </a:lnTo>
                <a:lnTo>
                  <a:pt x="15" y="0"/>
                </a:lnTo>
                <a:lnTo>
                  <a:pt x="26" y="14"/>
                </a:lnTo>
                <a:lnTo>
                  <a:pt x="26" y="0"/>
                </a:lnTo>
                <a:lnTo>
                  <a:pt x="15" y="0"/>
                </a:lnTo>
                <a:lnTo>
                  <a:pt x="15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0" name="Freeform 159">
            <a:extLst>
              <a:ext uri="{FF2B5EF4-FFF2-40B4-BE49-F238E27FC236}">
                <a16:creationId xmlns:a16="http://schemas.microsoft.com/office/drawing/2014/main" id="{00000000-0008-0000-0100-0000A0000000}"/>
              </a:ext>
            </a:extLst>
          </xdr:cNvPr>
          <xdr:cNvSpPr/>
        </xdr:nvSpPr>
        <xdr:spPr>
          <a:xfrm>
            <a:off x="10712" y="9981"/>
            <a:ext cx="47" cy="28"/>
          </a:xfrm>
          <a:custGeom>
            <a:avLst/>
            <a:gdLst/>
            <a:ahLst/>
            <a:cxnLst>
              <a:cxn ang="0">
                <a:pos x="26" y="20"/>
              </a:cxn>
              <a:cxn ang="0">
                <a:pos x="14" y="28"/>
              </a:cxn>
              <a:cxn ang="0">
                <a:pos x="47" y="28"/>
              </a:cxn>
              <a:cxn ang="0">
                <a:pos x="47" y="0"/>
              </a:cxn>
              <a:cxn ang="0">
                <a:pos x="14" y="0"/>
              </a:cxn>
              <a:cxn ang="0">
                <a:pos x="0" y="11"/>
              </a:cxn>
              <a:cxn ang="0">
                <a:pos x="14" y="0"/>
              </a:cxn>
              <a:cxn ang="0">
                <a:pos x="6" y="0"/>
              </a:cxn>
              <a:cxn ang="0">
                <a:pos x="0" y="11"/>
              </a:cxn>
              <a:cxn ang="0">
                <a:pos x="26" y="20"/>
              </a:cxn>
            </a:cxnLst>
            <a:rect l="0" t="0" r="r" b="b"/>
            <a:pathLst>
              <a:path w="47" h="28">
                <a:moveTo>
                  <a:pt x="26" y="20"/>
                </a:moveTo>
                <a:lnTo>
                  <a:pt x="14" y="28"/>
                </a:lnTo>
                <a:lnTo>
                  <a:pt x="47" y="28"/>
                </a:lnTo>
                <a:lnTo>
                  <a:pt x="47" y="0"/>
                </a:lnTo>
                <a:lnTo>
                  <a:pt x="14" y="0"/>
                </a:lnTo>
                <a:lnTo>
                  <a:pt x="0" y="11"/>
                </a:lnTo>
                <a:lnTo>
                  <a:pt x="14" y="0"/>
                </a:lnTo>
                <a:lnTo>
                  <a:pt x="6" y="0"/>
                </a:lnTo>
                <a:lnTo>
                  <a:pt x="0" y="11"/>
                </a:lnTo>
                <a:lnTo>
                  <a:pt x="26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1" name="Freeform 160">
            <a:extLst>
              <a:ext uri="{FF2B5EF4-FFF2-40B4-BE49-F238E27FC236}">
                <a16:creationId xmlns:a16="http://schemas.microsoft.com/office/drawing/2014/main" id="{00000000-0008-0000-0100-0000A1000000}"/>
              </a:ext>
            </a:extLst>
          </xdr:cNvPr>
          <xdr:cNvSpPr/>
        </xdr:nvSpPr>
        <xdr:spPr>
          <a:xfrm>
            <a:off x="10706" y="9989"/>
            <a:ext cx="32" cy="43"/>
          </a:xfrm>
          <a:custGeom>
            <a:avLst/>
            <a:gdLst/>
            <a:ahLst/>
            <a:cxnLst>
              <a:cxn ang="0">
                <a:pos x="12" y="43"/>
              </a:cxn>
              <a:cxn ang="0">
                <a:pos x="26" y="32"/>
              </a:cxn>
              <a:cxn ang="0">
                <a:pos x="32" y="9"/>
              </a:cxn>
              <a:cxn ang="0">
                <a:pos x="6" y="0"/>
              </a:cxn>
              <a:cxn ang="0">
                <a:pos x="0" y="26"/>
              </a:cxn>
              <a:cxn ang="0">
                <a:pos x="12" y="15"/>
              </a:cxn>
              <a:cxn ang="0">
                <a:pos x="12" y="43"/>
              </a:cxn>
              <a:cxn ang="0">
                <a:pos x="23" y="43"/>
              </a:cxn>
              <a:cxn ang="0">
                <a:pos x="26" y="32"/>
              </a:cxn>
              <a:cxn ang="0">
                <a:pos x="12" y="43"/>
              </a:cxn>
            </a:cxnLst>
            <a:rect l="0" t="0" r="r" b="b"/>
            <a:pathLst>
              <a:path w="32" h="43">
                <a:moveTo>
                  <a:pt x="12" y="43"/>
                </a:moveTo>
                <a:lnTo>
                  <a:pt x="26" y="32"/>
                </a:lnTo>
                <a:lnTo>
                  <a:pt x="32" y="9"/>
                </a:lnTo>
                <a:lnTo>
                  <a:pt x="6" y="0"/>
                </a:lnTo>
                <a:lnTo>
                  <a:pt x="0" y="26"/>
                </a:lnTo>
                <a:lnTo>
                  <a:pt x="12" y="15"/>
                </a:lnTo>
                <a:lnTo>
                  <a:pt x="12" y="43"/>
                </a:lnTo>
                <a:lnTo>
                  <a:pt x="23" y="43"/>
                </a:lnTo>
                <a:lnTo>
                  <a:pt x="26" y="32"/>
                </a:lnTo>
                <a:lnTo>
                  <a:pt x="12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2" name="Freeform 161">
            <a:extLst>
              <a:ext uri="{FF2B5EF4-FFF2-40B4-BE49-F238E27FC236}">
                <a16:creationId xmlns:a16="http://schemas.microsoft.com/office/drawing/2014/main" id="{00000000-0008-0000-0100-0000A2000000}"/>
              </a:ext>
            </a:extLst>
          </xdr:cNvPr>
          <xdr:cNvSpPr/>
        </xdr:nvSpPr>
        <xdr:spPr>
          <a:xfrm>
            <a:off x="10650" y="10004"/>
            <a:ext cx="68" cy="28"/>
          </a:xfrm>
          <a:custGeom>
            <a:avLst/>
            <a:gdLst/>
            <a:ahLst/>
            <a:cxnLst>
              <a:cxn ang="0">
                <a:pos x="6" y="8"/>
              </a:cxn>
              <a:cxn ang="0">
                <a:pos x="20" y="28"/>
              </a:cxn>
              <a:cxn ang="0">
                <a:pos x="68" y="28"/>
              </a:cxn>
              <a:cxn ang="0">
                <a:pos x="68" y="0"/>
              </a:cxn>
              <a:cxn ang="0">
                <a:pos x="20" y="0"/>
              </a:cxn>
              <a:cxn ang="0">
                <a:pos x="32" y="20"/>
              </a:cxn>
              <a:cxn ang="0">
                <a:pos x="6" y="8"/>
              </a:cxn>
              <a:cxn ang="0">
                <a:pos x="0" y="28"/>
              </a:cxn>
              <a:cxn ang="0">
                <a:pos x="20" y="28"/>
              </a:cxn>
              <a:cxn ang="0">
                <a:pos x="6" y="8"/>
              </a:cxn>
            </a:cxnLst>
            <a:rect l="0" t="0" r="r" b="b"/>
            <a:pathLst>
              <a:path w="68" h="28">
                <a:moveTo>
                  <a:pt x="6" y="8"/>
                </a:moveTo>
                <a:lnTo>
                  <a:pt x="20" y="28"/>
                </a:lnTo>
                <a:lnTo>
                  <a:pt x="68" y="28"/>
                </a:lnTo>
                <a:lnTo>
                  <a:pt x="68" y="0"/>
                </a:lnTo>
                <a:lnTo>
                  <a:pt x="20" y="0"/>
                </a:lnTo>
                <a:lnTo>
                  <a:pt x="32" y="20"/>
                </a:lnTo>
                <a:lnTo>
                  <a:pt x="6" y="8"/>
                </a:lnTo>
                <a:lnTo>
                  <a:pt x="0" y="28"/>
                </a:lnTo>
                <a:lnTo>
                  <a:pt x="20" y="28"/>
                </a:lnTo>
                <a:lnTo>
                  <a:pt x="6" y="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3" name="Freeform 162">
            <a:extLst>
              <a:ext uri="{FF2B5EF4-FFF2-40B4-BE49-F238E27FC236}">
                <a16:creationId xmlns:a16="http://schemas.microsoft.com/office/drawing/2014/main" id="{00000000-0008-0000-0100-0000A3000000}"/>
              </a:ext>
            </a:extLst>
          </xdr:cNvPr>
          <xdr:cNvSpPr/>
        </xdr:nvSpPr>
        <xdr:spPr>
          <a:xfrm>
            <a:off x="10744" y="9923"/>
            <a:ext cx="29" cy="35"/>
          </a:xfrm>
          <a:custGeom>
            <a:avLst/>
            <a:gdLst/>
            <a:ahLst/>
            <a:cxnLst>
              <a:cxn ang="0">
                <a:pos x="0" y="3"/>
              </a:cxn>
              <a:cxn ang="0">
                <a:pos x="0" y="0"/>
              </a:cxn>
              <a:cxn ang="0">
                <a:pos x="0" y="9"/>
              </a:cxn>
              <a:cxn ang="0">
                <a:pos x="0" y="14"/>
              </a:cxn>
              <a:cxn ang="0">
                <a:pos x="0" y="17"/>
              </a:cxn>
              <a:cxn ang="0">
                <a:pos x="0" y="23"/>
              </a:cxn>
              <a:cxn ang="0">
                <a:pos x="0" y="26"/>
              </a:cxn>
              <a:cxn ang="0">
                <a:pos x="0" y="32"/>
              </a:cxn>
              <a:cxn ang="0">
                <a:pos x="0" y="32"/>
              </a:cxn>
              <a:cxn ang="0">
                <a:pos x="0" y="35"/>
              </a:cxn>
              <a:cxn ang="0">
                <a:pos x="26" y="35"/>
              </a:cxn>
              <a:cxn ang="0">
                <a:pos x="26" y="32"/>
              </a:cxn>
              <a:cxn ang="0">
                <a:pos x="26" y="32"/>
              </a:cxn>
              <a:cxn ang="0">
                <a:pos x="26" y="26"/>
              </a:cxn>
              <a:cxn ang="0">
                <a:pos x="26" y="23"/>
              </a:cxn>
              <a:cxn ang="0">
                <a:pos x="26" y="17"/>
              </a:cxn>
              <a:cxn ang="0">
                <a:pos x="29" y="14"/>
              </a:cxn>
              <a:cxn ang="0">
                <a:pos x="29" y="9"/>
              </a:cxn>
              <a:cxn ang="0">
                <a:pos x="29" y="3"/>
              </a:cxn>
              <a:cxn ang="0">
                <a:pos x="29" y="3"/>
              </a:cxn>
              <a:cxn ang="0">
                <a:pos x="0" y="3"/>
              </a:cxn>
            </a:cxnLst>
            <a:rect l="0" t="0" r="r" b="b"/>
            <a:pathLst>
              <a:path w="29" h="35">
                <a:moveTo>
                  <a:pt x="0" y="3"/>
                </a:moveTo>
                <a:lnTo>
                  <a:pt x="0" y="0"/>
                </a:lnTo>
                <a:lnTo>
                  <a:pt x="0" y="9"/>
                </a:lnTo>
                <a:lnTo>
                  <a:pt x="0" y="14"/>
                </a:lnTo>
                <a:lnTo>
                  <a:pt x="0" y="17"/>
                </a:lnTo>
                <a:lnTo>
                  <a:pt x="0" y="23"/>
                </a:lnTo>
                <a:lnTo>
                  <a:pt x="0" y="26"/>
                </a:lnTo>
                <a:lnTo>
                  <a:pt x="0" y="32"/>
                </a:lnTo>
                <a:lnTo>
                  <a:pt x="0" y="32"/>
                </a:lnTo>
                <a:lnTo>
                  <a:pt x="0" y="35"/>
                </a:lnTo>
                <a:lnTo>
                  <a:pt x="26" y="35"/>
                </a:lnTo>
                <a:lnTo>
                  <a:pt x="26" y="32"/>
                </a:lnTo>
                <a:lnTo>
                  <a:pt x="26" y="32"/>
                </a:lnTo>
                <a:lnTo>
                  <a:pt x="26" y="26"/>
                </a:lnTo>
                <a:lnTo>
                  <a:pt x="26" y="23"/>
                </a:lnTo>
                <a:lnTo>
                  <a:pt x="26" y="17"/>
                </a:lnTo>
                <a:lnTo>
                  <a:pt x="29" y="14"/>
                </a:lnTo>
                <a:lnTo>
                  <a:pt x="29" y="9"/>
                </a:lnTo>
                <a:lnTo>
                  <a:pt x="29" y="3"/>
                </a:lnTo>
                <a:lnTo>
                  <a:pt x="29" y="3"/>
                </a:lnTo>
                <a:lnTo>
                  <a:pt x="0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4" name="Freeform 163">
            <a:extLst>
              <a:ext uri="{FF2B5EF4-FFF2-40B4-BE49-F238E27FC236}">
                <a16:creationId xmlns:a16="http://schemas.microsoft.com/office/drawing/2014/main" id="{00000000-0008-0000-0100-0000A4000000}"/>
              </a:ext>
            </a:extLst>
          </xdr:cNvPr>
          <xdr:cNvSpPr/>
        </xdr:nvSpPr>
        <xdr:spPr>
          <a:xfrm>
            <a:off x="10744" y="9779"/>
            <a:ext cx="29" cy="147"/>
          </a:xfrm>
          <a:custGeom>
            <a:avLst/>
            <a:gdLst/>
            <a:ahLst/>
            <a:cxnLst>
              <a:cxn ang="0">
                <a:pos x="29" y="107"/>
              </a:cxn>
              <a:cxn ang="0">
                <a:pos x="3" y="104"/>
              </a:cxn>
              <a:cxn ang="0">
                <a:pos x="3" y="107"/>
              </a:cxn>
              <a:cxn ang="0">
                <a:pos x="3" y="112"/>
              </a:cxn>
              <a:cxn ang="0">
                <a:pos x="3" y="115"/>
              </a:cxn>
              <a:cxn ang="0">
                <a:pos x="3" y="121"/>
              </a:cxn>
              <a:cxn ang="0">
                <a:pos x="3" y="127"/>
              </a:cxn>
              <a:cxn ang="0">
                <a:pos x="3" y="133"/>
              </a:cxn>
              <a:cxn ang="0">
                <a:pos x="0" y="138"/>
              </a:cxn>
              <a:cxn ang="0">
                <a:pos x="0" y="147"/>
              </a:cxn>
              <a:cxn ang="0">
                <a:pos x="29" y="147"/>
              </a:cxn>
              <a:cxn ang="0">
                <a:pos x="29" y="138"/>
              </a:cxn>
              <a:cxn ang="0">
                <a:pos x="29" y="133"/>
              </a:cxn>
              <a:cxn ang="0">
                <a:pos x="29" y="127"/>
              </a:cxn>
              <a:cxn ang="0">
                <a:pos x="29" y="121"/>
              </a:cxn>
              <a:cxn ang="0">
                <a:pos x="29" y="115"/>
              </a:cxn>
              <a:cxn ang="0">
                <a:pos x="29" y="112"/>
              </a:cxn>
              <a:cxn ang="0">
                <a:pos x="29" y="107"/>
              </a:cxn>
              <a:cxn ang="0">
                <a:pos x="29" y="104"/>
              </a:cxn>
              <a:cxn ang="0">
                <a:pos x="3" y="98"/>
              </a:cxn>
              <a:cxn ang="0">
                <a:pos x="29" y="104"/>
              </a:cxn>
              <a:cxn ang="0">
                <a:pos x="29" y="0"/>
              </a:cxn>
              <a:cxn ang="0">
                <a:pos x="3" y="98"/>
              </a:cxn>
              <a:cxn ang="0">
                <a:pos x="29" y="107"/>
              </a:cxn>
            </a:cxnLst>
            <a:rect l="0" t="0" r="r" b="b"/>
            <a:pathLst>
              <a:path w="29" h="147">
                <a:moveTo>
                  <a:pt x="29" y="107"/>
                </a:moveTo>
                <a:lnTo>
                  <a:pt x="3" y="104"/>
                </a:lnTo>
                <a:lnTo>
                  <a:pt x="3" y="107"/>
                </a:lnTo>
                <a:lnTo>
                  <a:pt x="3" y="112"/>
                </a:lnTo>
                <a:lnTo>
                  <a:pt x="3" y="115"/>
                </a:lnTo>
                <a:lnTo>
                  <a:pt x="3" y="121"/>
                </a:lnTo>
                <a:lnTo>
                  <a:pt x="3" y="127"/>
                </a:lnTo>
                <a:lnTo>
                  <a:pt x="3" y="133"/>
                </a:lnTo>
                <a:lnTo>
                  <a:pt x="0" y="138"/>
                </a:lnTo>
                <a:lnTo>
                  <a:pt x="0" y="147"/>
                </a:lnTo>
                <a:lnTo>
                  <a:pt x="29" y="147"/>
                </a:lnTo>
                <a:lnTo>
                  <a:pt x="29" y="138"/>
                </a:lnTo>
                <a:lnTo>
                  <a:pt x="29" y="133"/>
                </a:lnTo>
                <a:lnTo>
                  <a:pt x="29" y="127"/>
                </a:lnTo>
                <a:lnTo>
                  <a:pt x="29" y="121"/>
                </a:lnTo>
                <a:lnTo>
                  <a:pt x="29" y="115"/>
                </a:lnTo>
                <a:lnTo>
                  <a:pt x="29" y="112"/>
                </a:lnTo>
                <a:lnTo>
                  <a:pt x="29" y="107"/>
                </a:lnTo>
                <a:lnTo>
                  <a:pt x="29" y="104"/>
                </a:lnTo>
                <a:lnTo>
                  <a:pt x="3" y="98"/>
                </a:lnTo>
                <a:lnTo>
                  <a:pt x="29" y="104"/>
                </a:lnTo>
                <a:lnTo>
                  <a:pt x="29" y="0"/>
                </a:lnTo>
                <a:lnTo>
                  <a:pt x="3" y="98"/>
                </a:lnTo>
                <a:lnTo>
                  <a:pt x="29" y="10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5" name="Freeform 164">
            <a:extLst>
              <a:ext uri="{FF2B5EF4-FFF2-40B4-BE49-F238E27FC236}">
                <a16:creationId xmlns:a16="http://schemas.microsoft.com/office/drawing/2014/main" id="{00000000-0008-0000-0100-0000A5000000}"/>
              </a:ext>
            </a:extLst>
          </xdr:cNvPr>
          <xdr:cNvSpPr/>
        </xdr:nvSpPr>
        <xdr:spPr>
          <a:xfrm>
            <a:off x="10747" y="9779"/>
            <a:ext cx="26" cy="107"/>
          </a:xfrm>
          <a:custGeom>
            <a:avLst/>
            <a:gdLst/>
            <a:ahLst/>
            <a:cxnLst>
              <a:cxn ang="0">
                <a:pos x="26" y="107"/>
              </a:cxn>
              <a:cxn ang="0">
                <a:pos x="15" y="104"/>
              </a:cxn>
              <a:cxn ang="0">
                <a:pos x="0" y="98"/>
              </a:cxn>
              <a:cxn ang="0">
                <a:pos x="26" y="104"/>
              </a:cxn>
              <a:cxn ang="0">
                <a:pos x="26" y="0"/>
              </a:cxn>
              <a:cxn ang="0">
                <a:pos x="0" y="98"/>
              </a:cxn>
              <a:cxn ang="0">
                <a:pos x="26" y="107"/>
              </a:cxn>
            </a:cxnLst>
            <a:rect l="0" t="0" r="r" b="b"/>
            <a:pathLst>
              <a:path w="26" h="107">
                <a:moveTo>
                  <a:pt x="26" y="107"/>
                </a:moveTo>
                <a:lnTo>
                  <a:pt x="15" y="104"/>
                </a:lnTo>
                <a:lnTo>
                  <a:pt x="0" y="98"/>
                </a:lnTo>
                <a:lnTo>
                  <a:pt x="26" y="104"/>
                </a:lnTo>
                <a:lnTo>
                  <a:pt x="26" y="0"/>
                </a:lnTo>
                <a:lnTo>
                  <a:pt x="0" y="98"/>
                </a:lnTo>
                <a:lnTo>
                  <a:pt x="26" y="10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6" name="Freeform 165">
            <a:extLst>
              <a:ext uri="{FF2B5EF4-FFF2-40B4-BE49-F238E27FC236}">
                <a16:creationId xmlns:a16="http://schemas.microsoft.com/office/drawing/2014/main" id="{00000000-0008-0000-0100-0000A6000000}"/>
              </a:ext>
            </a:extLst>
          </xdr:cNvPr>
          <xdr:cNvSpPr/>
        </xdr:nvSpPr>
        <xdr:spPr>
          <a:xfrm>
            <a:off x="10718" y="9877"/>
            <a:ext cx="55" cy="95"/>
          </a:xfrm>
          <a:custGeom>
            <a:avLst/>
            <a:gdLst/>
            <a:ahLst/>
            <a:cxnLst>
              <a:cxn ang="0">
                <a:pos x="20" y="66"/>
              </a:cxn>
              <a:cxn ang="0">
                <a:pos x="32" y="86"/>
              </a:cxn>
              <a:cxn ang="0">
                <a:pos x="35" y="78"/>
              </a:cxn>
              <a:cxn ang="0">
                <a:pos x="38" y="72"/>
              </a:cxn>
              <a:cxn ang="0">
                <a:pos x="38" y="66"/>
              </a:cxn>
              <a:cxn ang="0">
                <a:pos x="41" y="60"/>
              </a:cxn>
              <a:cxn ang="0">
                <a:pos x="44" y="55"/>
              </a:cxn>
              <a:cxn ang="0">
                <a:pos x="44" y="49"/>
              </a:cxn>
              <a:cxn ang="0">
                <a:pos x="47" y="43"/>
              </a:cxn>
              <a:cxn ang="0">
                <a:pos x="47" y="37"/>
              </a:cxn>
              <a:cxn ang="0">
                <a:pos x="50" y="35"/>
              </a:cxn>
              <a:cxn ang="0">
                <a:pos x="50" y="29"/>
              </a:cxn>
              <a:cxn ang="0">
                <a:pos x="50" y="26"/>
              </a:cxn>
              <a:cxn ang="0">
                <a:pos x="52" y="23"/>
              </a:cxn>
              <a:cxn ang="0">
                <a:pos x="52" y="17"/>
              </a:cxn>
              <a:cxn ang="0">
                <a:pos x="55" y="14"/>
              </a:cxn>
              <a:cxn ang="0">
                <a:pos x="55" y="11"/>
              </a:cxn>
              <a:cxn ang="0">
                <a:pos x="55" y="9"/>
              </a:cxn>
              <a:cxn ang="0">
                <a:pos x="29" y="0"/>
              </a:cxn>
              <a:cxn ang="0">
                <a:pos x="29" y="6"/>
              </a:cxn>
              <a:cxn ang="0">
                <a:pos x="26" y="9"/>
              </a:cxn>
              <a:cxn ang="0">
                <a:pos x="26" y="11"/>
              </a:cxn>
              <a:cxn ang="0">
                <a:pos x="26" y="14"/>
              </a:cxn>
              <a:cxn ang="0">
                <a:pos x="23" y="17"/>
              </a:cxn>
              <a:cxn ang="0">
                <a:pos x="23" y="23"/>
              </a:cxn>
              <a:cxn ang="0">
                <a:pos x="23" y="26"/>
              </a:cxn>
              <a:cxn ang="0">
                <a:pos x="20" y="32"/>
              </a:cxn>
              <a:cxn ang="0">
                <a:pos x="20" y="37"/>
              </a:cxn>
              <a:cxn ang="0">
                <a:pos x="17" y="40"/>
              </a:cxn>
              <a:cxn ang="0">
                <a:pos x="17" y="46"/>
              </a:cxn>
              <a:cxn ang="0">
                <a:pos x="14" y="52"/>
              </a:cxn>
              <a:cxn ang="0">
                <a:pos x="11" y="58"/>
              </a:cxn>
              <a:cxn ang="0">
                <a:pos x="11" y="63"/>
              </a:cxn>
              <a:cxn ang="0">
                <a:pos x="8" y="69"/>
              </a:cxn>
              <a:cxn ang="0">
                <a:pos x="5" y="78"/>
              </a:cxn>
              <a:cxn ang="0">
                <a:pos x="20" y="95"/>
              </a:cxn>
              <a:cxn ang="0">
                <a:pos x="5" y="78"/>
              </a:cxn>
              <a:cxn ang="0">
                <a:pos x="0" y="95"/>
              </a:cxn>
              <a:cxn ang="0">
                <a:pos x="20" y="95"/>
              </a:cxn>
              <a:cxn ang="0">
                <a:pos x="20" y="66"/>
              </a:cxn>
            </a:cxnLst>
            <a:rect l="0" t="0" r="r" b="b"/>
            <a:pathLst>
              <a:path w="55" h="95">
                <a:moveTo>
                  <a:pt x="20" y="66"/>
                </a:moveTo>
                <a:lnTo>
                  <a:pt x="32" y="86"/>
                </a:lnTo>
                <a:lnTo>
                  <a:pt x="35" y="78"/>
                </a:lnTo>
                <a:lnTo>
                  <a:pt x="38" y="72"/>
                </a:lnTo>
                <a:lnTo>
                  <a:pt x="38" y="66"/>
                </a:lnTo>
                <a:lnTo>
                  <a:pt x="41" y="60"/>
                </a:lnTo>
                <a:lnTo>
                  <a:pt x="44" y="55"/>
                </a:lnTo>
                <a:lnTo>
                  <a:pt x="44" y="49"/>
                </a:lnTo>
                <a:lnTo>
                  <a:pt x="47" y="43"/>
                </a:lnTo>
                <a:lnTo>
                  <a:pt x="47" y="37"/>
                </a:lnTo>
                <a:lnTo>
                  <a:pt x="50" y="35"/>
                </a:lnTo>
                <a:lnTo>
                  <a:pt x="50" y="29"/>
                </a:lnTo>
                <a:lnTo>
                  <a:pt x="50" y="26"/>
                </a:lnTo>
                <a:lnTo>
                  <a:pt x="52" y="23"/>
                </a:lnTo>
                <a:lnTo>
                  <a:pt x="52" y="17"/>
                </a:lnTo>
                <a:lnTo>
                  <a:pt x="55" y="14"/>
                </a:lnTo>
                <a:lnTo>
                  <a:pt x="55" y="11"/>
                </a:lnTo>
                <a:lnTo>
                  <a:pt x="55" y="9"/>
                </a:lnTo>
                <a:lnTo>
                  <a:pt x="29" y="0"/>
                </a:lnTo>
                <a:lnTo>
                  <a:pt x="29" y="6"/>
                </a:lnTo>
                <a:lnTo>
                  <a:pt x="26" y="9"/>
                </a:lnTo>
                <a:lnTo>
                  <a:pt x="26" y="11"/>
                </a:lnTo>
                <a:lnTo>
                  <a:pt x="26" y="14"/>
                </a:lnTo>
                <a:lnTo>
                  <a:pt x="23" y="17"/>
                </a:lnTo>
                <a:lnTo>
                  <a:pt x="23" y="23"/>
                </a:lnTo>
                <a:lnTo>
                  <a:pt x="23" y="26"/>
                </a:lnTo>
                <a:lnTo>
                  <a:pt x="20" y="32"/>
                </a:lnTo>
                <a:lnTo>
                  <a:pt x="20" y="37"/>
                </a:lnTo>
                <a:lnTo>
                  <a:pt x="17" y="40"/>
                </a:lnTo>
                <a:lnTo>
                  <a:pt x="17" y="46"/>
                </a:lnTo>
                <a:lnTo>
                  <a:pt x="14" y="52"/>
                </a:lnTo>
                <a:lnTo>
                  <a:pt x="11" y="58"/>
                </a:lnTo>
                <a:lnTo>
                  <a:pt x="11" y="63"/>
                </a:lnTo>
                <a:lnTo>
                  <a:pt x="8" y="69"/>
                </a:lnTo>
                <a:lnTo>
                  <a:pt x="5" y="78"/>
                </a:lnTo>
                <a:lnTo>
                  <a:pt x="20" y="95"/>
                </a:lnTo>
                <a:lnTo>
                  <a:pt x="5" y="78"/>
                </a:lnTo>
                <a:lnTo>
                  <a:pt x="0" y="95"/>
                </a:lnTo>
                <a:lnTo>
                  <a:pt x="20" y="95"/>
                </a:lnTo>
                <a:lnTo>
                  <a:pt x="20" y="6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7" name="Freeform 166">
            <a:extLst>
              <a:ext uri="{FF2B5EF4-FFF2-40B4-BE49-F238E27FC236}">
                <a16:creationId xmlns:a16="http://schemas.microsoft.com/office/drawing/2014/main" id="{00000000-0008-0000-0100-0000A7000000}"/>
              </a:ext>
            </a:extLst>
          </xdr:cNvPr>
          <xdr:cNvSpPr/>
        </xdr:nvSpPr>
        <xdr:spPr>
          <a:xfrm>
            <a:off x="10738" y="9943"/>
            <a:ext cx="32" cy="29"/>
          </a:xfrm>
          <a:custGeom>
            <a:avLst/>
            <a:gdLst/>
            <a:ahLst/>
            <a:cxnLst>
              <a:cxn ang="0">
                <a:pos x="6" y="15"/>
              </a:cxn>
              <a:cxn ang="0">
                <a:pos x="21" y="0"/>
              </a:cxn>
              <a:cxn ang="0">
                <a:pos x="0" y="0"/>
              </a:cxn>
              <a:cxn ang="0">
                <a:pos x="0" y="29"/>
              </a:cxn>
              <a:cxn ang="0">
                <a:pos x="21" y="29"/>
              </a:cxn>
              <a:cxn ang="0">
                <a:pos x="32" y="15"/>
              </a:cxn>
              <a:cxn ang="0">
                <a:pos x="21" y="29"/>
              </a:cxn>
              <a:cxn ang="0">
                <a:pos x="32" y="29"/>
              </a:cxn>
              <a:cxn ang="0">
                <a:pos x="32" y="15"/>
              </a:cxn>
              <a:cxn ang="0">
                <a:pos x="6" y="15"/>
              </a:cxn>
            </a:cxnLst>
            <a:rect l="0" t="0" r="r" b="b"/>
            <a:pathLst>
              <a:path w="32" h="29">
                <a:moveTo>
                  <a:pt x="6" y="15"/>
                </a:moveTo>
                <a:lnTo>
                  <a:pt x="21" y="0"/>
                </a:lnTo>
                <a:lnTo>
                  <a:pt x="0" y="0"/>
                </a:lnTo>
                <a:lnTo>
                  <a:pt x="0" y="29"/>
                </a:lnTo>
                <a:lnTo>
                  <a:pt x="21" y="29"/>
                </a:lnTo>
                <a:lnTo>
                  <a:pt x="32" y="15"/>
                </a:lnTo>
                <a:lnTo>
                  <a:pt x="21" y="29"/>
                </a:lnTo>
                <a:lnTo>
                  <a:pt x="32" y="29"/>
                </a:lnTo>
                <a:lnTo>
                  <a:pt x="32" y="15"/>
                </a:lnTo>
                <a:lnTo>
                  <a:pt x="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8" name="Freeform 167">
            <a:extLst>
              <a:ext uri="{FF2B5EF4-FFF2-40B4-BE49-F238E27FC236}">
                <a16:creationId xmlns:a16="http://schemas.microsoft.com/office/drawing/2014/main" id="{00000000-0008-0000-0100-0000A8000000}"/>
              </a:ext>
            </a:extLst>
          </xdr:cNvPr>
          <xdr:cNvSpPr/>
        </xdr:nvSpPr>
        <xdr:spPr>
          <a:xfrm>
            <a:off x="10800" y="9828"/>
            <a:ext cx="56" cy="193"/>
          </a:xfrm>
          <a:custGeom>
            <a:avLst/>
            <a:gdLst/>
            <a:ahLst/>
            <a:cxnLst>
              <a:cxn ang="0">
                <a:pos x="44" y="0"/>
              </a:cxn>
              <a:cxn ang="0">
                <a:pos x="29" y="12"/>
              </a:cxn>
              <a:cxn ang="0">
                <a:pos x="0" y="190"/>
              </a:cxn>
              <a:cxn ang="0">
                <a:pos x="29" y="193"/>
              </a:cxn>
              <a:cxn ang="0">
                <a:pos x="56" y="14"/>
              </a:cxn>
              <a:cxn ang="0">
                <a:pos x="44" y="26"/>
              </a:cxn>
              <a:cxn ang="0">
                <a:pos x="44" y="0"/>
              </a:cxn>
              <a:cxn ang="0">
                <a:pos x="32" y="0"/>
              </a:cxn>
              <a:cxn ang="0">
                <a:pos x="29" y="12"/>
              </a:cxn>
              <a:cxn ang="0">
                <a:pos x="44" y="0"/>
              </a:cxn>
            </a:cxnLst>
            <a:rect l="0" t="0" r="r" b="b"/>
            <a:pathLst>
              <a:path w="56" h="193">
                <a:moveTo>
                  <a:pt x="44" y="0"/>
                </a:moveTo>
                <a:lnTo>
                  <a:pt x="29" y="12"/>
                </a:lnTo>
                <a:lnTo>
                  <a:pt x="0" y="190"/>
                </a:lnTo>
                <a:lnTo>
                  <a:pt x="29" y="193"/>
                </a:lnTo>
                <a:lnTo>
                  <a:pt x="56" y="14"/>
                </a:lnTo>
                <a:lnTo>
                  <a:pt x="44" y="26"/>
                </a:lnTo>
                <a:lnTo>
                  <a:pt x="44" y="0"/>
                </a:lnTo>
                <a:lnTo>
                  <a:pt x="32" y="0"/>
                </a:lnTo>
                <a:lnTo>
                  <a:pt x="29" y="12"/>
                </a:lnTo>
                <a:lnTo>
                  <a:pt x="4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9" name="Freeform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10844" y="9828"/>
            <a:ext cx="38" cy="26"/>
          </a:xfrm>
          <a:custGeom>
            <a:avLst/>
            <a:gdLst/>
            <a:ahLst/>
            <a:cxnLst>
              <a:cxn ang="0">
                <a:pos x="38" y="0"/>
              </a:cxn>
              <a:cxn ang="0">
                <a:pos x="38" y="0"/>
              </a:cxn>
              <a:cxn ang="0">
                <a:pos x="0" y="0"/>
              </a:cxn>
              <a:cxn ang="0">
                <a:pos x="0" y="26"/>
              </a:cxn>
              <a:cxn ang="0">
                <a:pos x="38" y="26"/>
              </a:cxn>
              <a:cxn ang="0">
                <a:pos x="38" y="0"/>
              </a:cxn>
            </a:cxnLst>
            <a:rect l="0" t="0" r="r" b="b"/>
            <a:pathLst>
              <a:path w="38" h="26">
                <a:moveTo>
                  <a:pt x="38" y="0"/>
                </a:moveTo>
                <a:lnTo>
                  <a:pt x="38" y="0"/>
                </a:lnTo>
                <a:lnTo>
                  <a:pt x="0" y="0"/>
                </a:lnTo>
                <a:lnTo>
                  <a:pt x="0" y="26"/>
                </a:lnTo>
                <a:lnTo>
                  <a:pt x="38" y="26"/>
                </a:lnTo>
                <a:lnTo>
                  <a:pt x="3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0" name="Freeform 169">
            <a:extLst>
              <a:ext uri="{FF2B5EF4-FFF2-40B4-BE49-F238E27FC236}">
                <a16:creationId xmlns:a16="http://schemas.microsoft.com/office/drawing/2014/main" id="{00000000-0008-0000-0100-0000AA000000}"/>
              </a:ext>
            </a:extLst>
          </xdr:cNvPr>
          <xdr:cNvSpPr/>
        </xdr:nvSpPr>
        <xdr:spPr>
          <a:xfrm>
            <a:off x="10882" y="9828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6" y="6"/>
              </a:cxn>
              <a:cxn ang="0">
                <a:pos x="30" y="3"/>
              </a:cxn>
              <a:cxn ang="0">
                <a:pos x="27" y="3"/>
              </a:cxn>
              <a:cxn ang="0">
                <a:pos x="21" y="0"/>
              </a:cxn>
              <a:cxn ang="0">
                <a:pos x="15" y="0"/>
              </a:cxn>
              <a:cxn ang="0">
                <a:pos x="12" y="0"/>
              </a:cxn>
              <a:cxn ang="0">
                <a:pos x="3" y="0"/>
              </a:cxn>
              <a:cxn ang="0">
                <a:pos x="0" y="0"/>
              </a:cxn>
              <a:cxn ang="0">
                <a:pos x="0" y="26"/>
              </a:cxn>
              <a:cxn ang="0">
                <a:pos x="3" y="26"/>
              </a:cxn>
              <a:cxn ang="0">
                <a:pos x="6" y="26"/>
              </a:cxn>
              <a:cxn ang="0">
                <a:pos x="12" y="26"/>
              </a:cxn>
              <a:cxn ang="0">
                <a:pos x="15" y="29"/>
              </a:cxn>
              <a:cxn ang="0">
                <a:pos x="18" y="29"/>
              </a:cxn>
              <a:cxn ang="0">
                <a:pos x="24" y="29"/>
              </a:cxn>
              <a:cxn ang="0">
                <a:pos x="27" y="32"/>
              </a:cxn>
              <a:cxn ang="0">
                <a:pos x="30" y="32"/>
              </a:cxn>
              <a:cxn ang="0">
                <a:pos x="30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6" y="6"/>
                </a:lnTo>
                <a:lnTo>
                  <a:pt x="30" y="3"/>
                </a:lnTo>
                <a:lnTo>
                  <a:pt x="27" y="3"/>
                </a:lnTo>
                <a:lnTo>
                  <a:pt x="21" y="0"/>
                </a:lnTo>
                <a:lnTo>
                  <a:pt x="15" y="0"/>
                </a:lnTo>
                <a:lnTo>
                  <a:pt x="12" y="0"/>
                </a:lnTo>
                <a:lnTo>
                  <a:pt x="3" y="0"/>
                </a:lnTo>
                <a:lnTo>
                  <a:pt x="0" y="0"/>
                </a:lnTo>
                <a:lnTo>
                  <a:pt x="0" y="26"/>
                </a:lnTo>
                <a:lnTo>
                  <a:pt x="3" y="26"/>
                </a:lnTo>
                <a:lnTo>
                  <a:pt x="6" y="26"/>
                </a:lnTo>
                <a:lnTo>
                  <a:pt x="12" y="26"/>
                </a:lnTo>
                <a:lnTo>
                  <a:pt x="15" y="29"/>
                </a:lnTo>
                <a:lnTo>
                  <a:pt x="18" y="29"/>
                </a:lnTo>
                <a:lnTo>
                  <a:pt x="24" y="29"/>
                </a:lnTo>
                <a:lnTo>
                  <a:pt x="27" y="32"/>
                </a:lnTo>
                <a:lnTo>
                  <a:pt x="30" y="32"/>
                </a:lnTo>
                <a:lnTo>
                  <a:pt x="30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1" name="Freeform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/>
        </xdr:nvSpPr>
        <xdr:spPr>
          <a:xfrm>
            <a:off x="10912" y="9837"/>
            <a:ext cx="41" cy="40"/>
          </a:xfrm>
          <a:custGeom>
            <a:avLst/>
            <a:gdLst/>
            <a:ahLst/>
            <a:cxnLst>
              <a:cxn ang="0">
                <a:pos x="41" y="28"/>
              </a:cxn>
              <a:cxn ang="0">
                <a:pos x="41" y="28"/>
              </a:cxn>
              <a:cxn ang="0">
                <a:pos x="38" y="23"/>
              </a:cxn>
              <a:cxn ang="0">
                <a:pos x="35" y="20"/>
              </a:cxn>
              <a:cxn ang="0">
                <a:pos x="32" y="14"/>
              </a:cxn>
              <a:cxn ang="0">
                <a:pos x="29" y="11"/>
              </a:cxn>
              <a:cxn ang="0">
                <a:pos x="23" y="8"/>
              </a:cxn>
              <a:cxn ang="0">
                <a:pos x="20" y="5"/>
              </a:cxn>
              <a:cxn ang="0">
                <a:pos x="14" y="0"/>
              </a:cxn>
              <a:cxn ang="0">
                <a:pos x="11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8"/>
              </a:cxn>
              <a:cxn ang="0">
                <a:pos x="11" y="31"/>
              </a:cxn>
              <a:cxn ang="0">
                <a:pos x="11" y="31"/>
              </a:cxn>
              <a:cxn ang="0">
                <a:pos x="14" y="34"/>
              </a:cxn>
              <a:cxn ang="0">
                <a:pos x="14" y="40"/>
              </a:cxn>
              <a:cxn ang="0">
                <a:pos x="17" y="40"/>
              </a:cxn>
              <a:cxn ang="0">
                <a:pos x="41" y="28"/>
              </a:cxn>
            </a:cxnLst>
            <a:rect l="0" t="0" r="r" b="b"/>
            <a:pathLst>
              <a:path w="41" h="40">
                <a:moveTo>
                  <a:pt x="41" y="28"/>
                </a:moveTo>
                <a:lnTo>
                  <a:pt x="41" y="28"/>
                </a:lnTo>
                <a:lnTo>
                  <a:pt x="38" y="23"/>
                </a:lnTo>
                <a:lnTo>
                  <a:pt x="35" y="20"/>
                </a:lnTo>
                <a:lnTo>
                  <a:pt x="32" y="14"/>
                </a:lnTo>
                <a:lnTo>
                  <a:pt x="29" y="11"/>
                </a:lnTo>
                <a:lnTo>
                  <a:pt x="23" y="8"/>
                </a:lnTo>
                <a:lnTo>
                  <a:pt x="20" y="5"/>
                </a:lnTo>
                <a:lnTo>
                  <a:pt x="14" y="0"/>
                </a:lnTo>
                <a:lnTo>
                  <a:pt x="11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8"/>
                </a:lnTo>
                <a:lnTo>
                  <a:pt x="11" y="31"/>
                </a:lnTo>
                <a:lnTo>
                  <a:pt x="11" y="31"/>
                </a:lnTo>
                <a:lnTo>
                  <a:pt x="14" y="34"/>
                </a:lnTo>
                <a:lnTo>
                  <a:pt x="14" y="40"/>
                </a:lnTo>
                <a:lnTo>
                  <a:pt x="17" y="40"/>
                </a:lnTo>
                <a:lnTo>
                  <a:pt x="41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2" name="Freeform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10929" y="9865"/>
            <a:ext cx="36" cy="47"/>
          </a:xfrm>
          <a:custGeom>
            <a:avLst/>
            <a:gdLst/>
            <a:ahLst/>
            <a:cxnLst>
              <a:cxn ang="0">
                <a:pos x="36" y="47"/>
              </a:cxn>
              <a:cxn ang="0">
                <a:pos x="36" y="47"/>
              </a:cxn>
              <a:cxn ang="0">
                <a:pos x="36" y="41"/>
              </a:cxn>
              <a:cxn ang="0">
                <a:pos x="36" y="35"/>
              </a:cxn>
              <a:cxn ang="0">
                <a:pos x="36" y="29"/>
              </a:cxn>
              <a:cxn ang="0">
                <a:pos x="33" y="21"/>
              </a:cxn>
              <a:cxn ang="0">
                <a:pos x="33" y="15"/>
              </a:cxn>
              <a:cxn ang="0">
                <a:pos x="30" y="9"/>
              </a:cxn>
              <a:cxn ang="0">
                <a:pos x="27" y="6"/>
              </a:cxn>
              <a:cxn ang="0">
                <a:pos x="24" y="0"/>
              </a:cxn>
              <a:cxn ang="0">
                <a:pos x="0" y="12"/>
              </a:cxn>
              <a:cxn ang="0">
                <a:pos x="3" y="18"/>
              </a:cxn>
              <a:cxn ang="0">
                <a:pos x="3" y="21"/>
              </a:cxn>
              <a:cxn ang="0">
                <a:pos x="6" y="26"/>
              </a:cxn>
              <a:cxn ang="0">
                <a:pos x="6" y="29"/>
              </a:cxn>
              <a:cxn ang="0">
                <a:pos x="6" y="32"/>
              </a:cxn>
              <a:cxn ang="0">
                <a:pos x="9" y="38"/>
              </a:cxn>
              <a:cxn ang="0">
                <a:pos x="9" y="41"/>
              </a:cxn>
              <a:cxn ang="0">
                <a:pos x="9" y="47"/>
              </a:cxn>
              <a:cxn ang="0">
                <a:pos x="9" y="47"/>
              </a:cxn>
              <a:cxn ang="0">
                <a:pos x="36" y="47"/>
              </a:cxn>
            </a:cxnLst>
            <a:rect l="0" t="0" r="r" b="b"/>
            <a:pathLst>
              <a:path w="36" h="47">
                <a:moveTo>
                  <a:pt x="36" y="47"/>
                </a:moveTo>
                <a:lnTo>
                  <a:pt x="36" y="47"/>
                </a:lnTo>
                <a:lnTo>
                  <a:pt x="36" y="41"/>
                </a:lnTo>
                <a:lnTo>
                  <a:pt x="36" y="35"/>
                </a:lnTo>
                <a:lnTo>
                  <a:pt x="36" y="29"/>
                </a:lnTo>
                <a:lnTo>
                  <a:pt x="33" y="21"/>
                </a:lnTo>
                <a:lnTo>
                  <a:pt x="33" y="15"/>
                </a:lnTo>
                <a:lnTo>
                  <a:pt x="30" y="9"/>
                </a:lnTo>
                <a:lnTo>
                  <a:pt x="27" y="6"/>
                </a:lnTo>
                <a:lnTo>
                  <a:pt x="24" y="0"/>
                </a:lnTo>
                <a:lnTo>
                  <a:pt x="0" y="12"/>
                </a:lnTo>
                <a:lnTo>
                  <a:pt x="3" y="18"/>
                </a:lnTo>
                <a:lnTo>
                  <a:pt x="3" y="21"/>
                </a:lnTo>
                <a:lnTo>
                  <a:pt x="6" y="26"/>
                </a:lnTo>
                <a:lnTo>
                  <a:pt x="6" y="29"/>
                </a:lnTo>
                <a:lnTo>
                  <a:pt x="6" y="32"/>
                </a:lnTo>
                <a:lnTo>
                  <a:pt x="9" y="38"/>
                </a:lnTo>
                <a:lnTo>
                  <a:pt x="9" y="41"/>
                </a:lnTo>
                <a:lnTo>
                  <a:pt x="9" y="47"/>
                </a:lnTo>
                <a:lnTo>
                  <a:pt x="9" y="47"/>
                </a:lnTo>
                <a:lnTo>
                  <a:pt x="36" y="4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3" name="Freeform 172">
            <a:extLst>
              <a:ext uri="{FF2B5EF4-FFF2-40B4-BE49-F238E27FC236}">
                <a16:creationId xmlns:a16="http://schemas.microsoft.com/office/drawing/2014/main" id="{00000000-0008-0000-0100-0000AD000000}"/>
              </a:ext>
            </a:extLst>
          </xdr:cNvPr>
          <xdr:cNvSpPr/>
        </xdr:nvSpPr>
        <xdr:spPr>
          <a:xfrm>
            <a:off x="10926" y="9912"/>
            <a:ext cx="39" cy="57"/>
          </a:xfrm>
          <a:custGeom>
            <a:avLst/>
            <a:gdLst/>
            <a:ahLst/>
            <a:cxnLst>
              <a:cxn ang="0">
                <a:pos x="27" y="57"/>
              </a:cxn>
              <a:cxn ang="0">
                <a:pos x="27" y="57"/>
              </a:cxn>
              <a:cxn ang="0">
                <a:pos x="27" y="54"/>
              </a:cxn>
              <a:cxn ang="0">
                <a:pos x="30" y="51"/>
              </a:cxn>
              <a:cxn ang="0">
                <a:pos x="30" y="48"/>
              </a:cxn>
              <a:cxn ang="0">
                <a:pos x="33" y="43"/>
              </a:cxn>
              <a:cxn ang="0">
                <a:pos x="33" y="40"/>
              </a:cxn>
              <a:cxn ang="0">
                <a:pos x="33" y="37"/>
              </a:cxn>
              <a:cxn ang="0">
                <a:pos x="36" y="34"/>
              </a:cxn>
              <a:cxn ang="0">
                <a:pos x="36" y="28"/>
              </a:cxn>
              <a:cxn ang="0">
                <a:pos x="36" y="25"/>
              </a:cxn>
              <a:cxn ang="0">
                <a:pos x="36" y="23"/>
              </a:cxn>
              <a:cxn ang="0">
                <a:pos x="36" y="20"/>
              </a:cxn>
              <a:cxn ang="0">
                <a:pos x="39" y="17"/>
              </a:cxn>
              <a:cxn ang="0">
                <a:pos x="39" y="14"/>
              </a:cxn>
              <a:cxn ang="0">
                <a:pos x="39" y="5"/>
              </a:cxn>
              <a:cxn ang="0">
                <a:pos x="39" y="2"/>
              </a:cxn>
              <a:cxn ang="0">
                <a:pos x="39" y="0"/>
              </a:cxn>
              <a:cxn ang="0">
                <a:pos x="12" y="0"/>
              </a:cxn>
              <a:cxn ang="0">
                <a:pos x="12" y="2"/>
              </a:cxn>
              <a:cxn ang="0">
                <a:pos x="12" y="5"/>
              </a:cxn>
              <a:cxn ang="0">
                <a:pos x="12" y="8"/>
              </a:cxn>
              <a:cxn ang="0">
                <a:pos x="9" y="11"/>
              </a:cxn>
              <a:cxn ang="0">
                <a:pos x="9" y="14"/>
              </a:cxn>
              <a:cxn ang="0">
                <a:pos x="9" y="17"/>
              </a:cxn>
              <a:cxn ang="0">
                <a:pos x="9" y="20"/>
              </a:cxn>
              <a:cxn ang="0">
                <a:pos x="9" y="25"/>
              </a:cxn>
              <a:cxn ang="0">
                <a:pos x="6" y="28"/>
              </a:cxn>
              <a:cxn ang="0">
                <a:pos x="6" y="31"/>
              </a:cxn>
              <a:cxn ang="0">
                <a:pos x="6" y="34"/>
              </a:cxn>
              <a:cxn ang="0">
                <a:pos x="6" y="37"/>
              </a:cxn>
              <a:cxn ang="0">
                <a:pos x="3" y="37"/>
              </a:cxn>
              <a:cxn ang="0">
                <a:pos x="3" y="40"/>
              </a:cxn>
              <a:cxn ang="0">
                <a:pos x="3" y="43"/>
              </a:cxn>
              <a:cxn ang="0">
                <a:pos x="0" y="46"/>
              </a:cxn>
              <a:cxn ang="0">
                <a:pos x="0" y="46"/>
              </a:cxn>
              <a:cxn ang="0">
                <a:pos x="27" y="57"/>
              </a:cxn>
            </a:cxnLst>
            <a:rect l="0" t="0" r="r" b="b"/>
            <a:pathLst>
              <a:path w="39" h="57">
                <a:moveTo>
                  <a:pt x="27" y="57"/>
                </a:moveTo>
                <a:lnTo>
                  <a:pt x="27" y="57"/>
                </a:lnTo>
                <a:lnTo>
                  <a:pt x="27" y="54"/>
                </a:lnTo>
                <a:lnTo>
                  <a:pt x="30" y="51"/>
                </a:lnTo>
                <a:lnTo>
                  <a:pt x="30" y="48"/>
                </a:lnTo>
                <a:lnTo>
                  <a:pt x="33" y="43"/>
                </a:lnTo>
                <a:lnTo>
                  <a:pt x="33" y="40"/>
                </a:lnTo>
                <a:lnTo>
                  <a:pt x="33" y="37"/>
                </a:lnTo>
                <a:lnTo>
                  <a:pt x="36" y="34"/>
                </a:lnTo>
                <a:lnTo>
                  <a:pt x="36" y="28"/>
                </a:lnTo>
                <a:lnTo>
                  <a:pt x="36" y="25"/>
                </a:lnTo>
                <a:lnTo>
                  <a:pt x="36" y="23"/>
                </a:lnTo>
                <a:lnTo>
                  <a:pt x="36" y="20"/>
                </a:lnTo>
                <a:lnTo>
                  <a:pt x="39" y="17"/>
                </a:lnTo>
                <a:lnTo>
                  <a:pt x="39" y="14"/>
                </a:lnTo>
                <a:lnTo>
                  <a:pt x="39" y="5"/>
                </a:lnTo>
                <a:lnTo>
                  <a:pt x="39" y="2"/>
                </a:lnTo>
                <a:lnTo>
                  <a:pt x="39" y="0"/>
                </a:lnTo>
                <a:lnTo>
                  <a:pt x="12" y="0"/>
                </a:lnTo>
                <a:lnTo>
                  <a:pt x="12" y="2"/>
                </a:lnTo>
                <a:lnTo>
                  <a:pt x="12" y="5"/>
                </a:lnTo>
                <a:lnTo>
                  <a:pt x="12" y="8"/>
                </a:lnTo>
                <a:lnTo>
                  <a:pt x="9" y="11"/>
                </a:lnTo>
                <a:lnTo>
                  <a:pt x="9" y="14"/>
                </a:lnTo>
                <a:lnTo>
                  <a:pt x="9" y="17"/>
                </a:lnTo>
                <a:lnTo>
                  <a:pt x="9" y="20"/>
                </a:lnTo>
                <a:lnTo>
                  <a:pt x="9" y="25"/>
                </a:lnTo>
                <a:lnTo>
                  <a:pt x="6" y="28"/>
                </a:lnTo>
                <a:lnTo>
                  <a:pt x="6" y="31"/>
                </a:lnTo>
                <a:lnTo>
                  <a:pt x="6" y="34"/>
                </a:lnTo>
                <a:lnTo>
                  <a:pt x="6" y="37"/>
                </a:lnTo>
                <a:lnTo>
                  <a:pt x="3" y="37"/>
                </a:lnTo>
                <a:lnTo>
                  <a:pt x="3" y="40"/>
                </a:lnTo>
                <a:lnTo>
                  <a:pt x="3" y="43"/>
                </a:lnTo>
                <a:lnTo>
                  <a:pt x="0" y="46"/>
                </a:lnTo>
                <a:lnTo>
                  <a:pt x="0" y="46"/>
                </a:lnTo>
                <a:lnTo>
                  <a:pt x="27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4" name="Freeform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/>
        </xdr:nvSpPr>
        <xdr:spPr>
          <a:xfrm>
            <a:off x="10903" y="9958"/>
            <a:ext cx="50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18" y="57"/>
              </a:cxn>
              <a:cxn ang="0">
                <a:pos x="23" y="51"/>
              </a:cxn>
              <a:cxn ang="0">
                <a:pos x="26" y="49"/>
              </a:cxn>
              <a:cxn ang="0">
                <a:pos x="32" y="43"/>
              </a:cxn>
              <a:cxn ang="0">
                <a:pos x="35" y="37"/>
              </a:cxn>
              <a:cxn ang="0">
                <a:pos x="41" y="31"/>
              </a:cxn>
              <a:cxn ang="0">
                <a:pos x="44" y="26"/>
              </a:cxn>
              <a:cxn ang="0">
                <a:pos x="47" y="17"/>
              </a:cxn>
              <a:cxn ang="0">
                <a:pos x="50" y="11"/>
              </a:cxn>
              <a:cxn ang="0">
                <a:pos x="23" y="0"/>
              </a:cxn>
              <a:cxn ang="0">
                <a:pos x="20" y="5"/>
              </a:cxn>
              <a:cxn ang="0">
                <a:pos x="20" y="11"/>
              </a:cxn>
              <a:cxn ang="0">
                <a:pos x="18" y="17"/>
              </a:cxn>
              <a:cxn ang="0">
                <a:pos x="15" y="20"/>
              </a:cxn>
              <a:cxn ang="0">
                <a:pos x="9" y="26"/>
              </a:cxn>
              <a:cxn ang="0">
                <a:pos x="6" y="28"/>
              </a:cxn>
              <a:cxn ang="0">
                <a:pos x="3" y="31"/>
              </a:cxn>
              <a:cxn ang="0">
                <a:pos x="0" y="34"/>
              </a:cxn>
              <a:cxn ang="0">
                <a:pos x="0" y="34"/>
              </a:cxn>
              <a:cxn ang="0">
                <a:pos x="18" y="57"/>
              </a:cxn>
            </a:cxnLst>
            <a:rect l="0" t="0" r="r" b="b"/>
            <a:pathLst>
              <a:path w="50" h="57">
                <a:moveTo>
                  <a:pt x="18" y="57"/>
                </a:moveTo>
                <a:lnTo>
                  <a:pt x="18" y="57"/>
                </a:lnTo>
                <a:lnTo>
                  <a:pt x="23" y="51"/>
                </a:lnTo>
                <a:lnTo>
                  <a:pt x="26" y="49"/>
                </a:lnTo>
                <a:lnTo>
                  <a:pt x="32" y="43"/>
                </a:lnTo>
                <a:lnTo>
                  <a:pt x="35" y="37"/>
                </a:lnTo>
                <a:lnTo>
                  <a:pt x="41" y="31"/>
                </a:lnTo>
                <a:lnTo>
                  <a:pt x="44" y="26"/>
                </a:lnTo>
                <a:lnTo>
                  <a:pt x="47" y="17"/>
                </a:lnTo>
                <a:lnTo>
                  <a:pt x="50" y="11"/>
                </a:lnTo>
                <a:lnTo>
                  <a:pt x="23" y="0"/>
                </a:lnTo>
                <a:lnTo>
                  <a:pt x="20" y="5"/>
                </a:lnTo>
                <a:lnTo>
                  <a:pt x="20" y="11"/>
                </a:lnTo>
                <a:lnTo>
                  <a:pt x="18" y="17"/>
                </a:lnTo>
                <a:lnTo>
                  <a:pt x="15" y="20"/>
                </a:lnTo>
                <a:lnTo>
                  <a:pt x="9" y="26"/>
                </a:lnTo>
                <a:lnTo>
                  <a:pt x="6" y="28"/>
                </a:lnTo>
                <a:lnTo>
                  <a:pt x="3" y="31"/>
                </a:lnTo>
                <a:lnTo>
                  <a:pt x="0" y="34"/>
                </a:lnTo>
                <a:lnTo>
                  <a:pt x="0" y="34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5" name="Freeform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10859" y="9992"/>
            <a:ext cx="62" cy="40"/>
          </a:xfrm>
          <a:custGeom>
            <a:avLst/>
            <a:gdLst/>
            <a:ahLst/>
            <a:cxnLst>
              <a:cxn ang="0">
                <a:pos x="0" y="40"/>
              </a:cxn>
              <a:cxn ang="0">
                <a:pos x="0" y="40"/>
              </a:cxn>
              <a:cxn ang="0">
                <a:pos x="3" y="40"/>
              </a:cxn>
              <a:cxn ang="0">
                <a:pos x="6" y="40"/>
              </a:cxn>
              <a:cxn ang="0">
                <a:pos x="12" y="40"/>
              </a:cxn>
              <a:cxn ang="0">
                <a:pos x="17" y="40"/>
              </a:cxn>
              <a:cxn ang="0">
                <a:pos x="20" y="40"/>
              </a:cxn>
              <a:cxn ang="0">
                <a:pos x="23" y="40"/>
              </a:cxn>
              <a:cxn ang="0">
                <a:pos x="26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47" y="32"/>
              </a:cxn>
              <a:cxn ang="0">
                <a:pos x="50" y="29"/>
              </a:cxn>
              <a:cxn ang="0">
                <a:pos x="56" y="26"/>
              </a:cxn>
              <a:cxn ang="0">
                <a:pos x="59" y="26"/>
              </a:cxn>
              <a:cxn ang="0">
                <a:pos x="62" y="23"/>
              </a:cxn>
              <a:cxn ang="0">
                <a:pos x="44" y="0"/>
              </a:cxn>
              <a:cxn ang="0">
                <a:pos x="41" y="3"/>
              </a:cxn>
              <a:cxn ang="0">
                <a:pos x="38" y="6"/>
              </a:cxn>
              <a:cxn ang="0">
                <a:pos x="38" y="3"/>
              </a:cxn>
              <a:cxn ang="0">
                <a:pos x="35" y="6"/>
              </a:cxn>
              <a:cxn ang="0">
                <a:pos x="32" y="6"/>
              </a:cxn>
              <a:cxn ang="0">
                <a:pos x="29" y="9"/>
              </a:cxn>
              <a:cxn ang="0">
                <a:pos x="26" y="9"/>
              </a:cxn>
              <a:cxn ang="0">
                <a:pos x="26" y="12"/>
              </a:cxn>
              <a:cxn ang="0">
                <a:pos x="23" y="12"/>
              </a:cxn>
              <a:cxn ang="0">
                <a:pos x="17" y="12"/>
              </a:cxn>
              <a:cxn ang="0">
                <a:pos x="17" y="12"/>
              </a:cxn>
              <a:cxn ang="0">
                <a:pos x="12" y="12"/>
              </a:cxn>
              <a:cxn ang="0">
                <a:pos x="12" y="15"/>
              </a:cxn>
              <a:cxn ang="0">
                <a:pos x="6" y="15"/>
              </a:cxn>
              <a:cxn ang="0">
                <a:pos x="3" y="15"/>
              </a:cxn>
              <a:cxn ang="0">
                <a:pos x="0" y="15"/>
              </a:cxn>
              <a:cxn ang="0">
                <a:pos x="0" y="40"/>
              </a:cxn>
            </a:cxnLst>
            <a:rect l="0" t="0" r="r" b="b"/>
            <a:pathLst>
              <a:path w="62" h="40">
                <a:moveTo>
                  <a:pt x="0" y="40"/>
                </a:moveTo>
                <a:lnTo>
                  <a:pt x="0" y="40"/>
                </a:lnTo>
                <a:lnTo>
                  <a:pt x="3" y="40"/>
                </a:lnTo>
                <a:lnTo>
                  <a:pt x="6" y="40"/>
                </a:lnTo>
                <a:lnTo>
                  <a:pt x="12" y="40"/>
                </a:lnTo>
                <a:lnTo>
                  <a:pt x="17" y="40"/>
                </a:lnTo>
                <a:lnTo>
                  <a:pt x="20" y="40"/>
                </a:lnTo>
                <a:lnTo>
                  <a:pt x="23" y="40"/>
                </a:lnTo>
                <a:lnTo>
                  <a:pt x="26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47" y="32"/>
                </a:lnTo>
                <a:lnTo>
                  <a:pt x="50" y="29"/>
                </a:lnTo>
                <a:lnTo>
                  <a:pt x="56" y="26"/>
                </a:lnTo>
                <a:lnTo>
                  <a:pt x="59" y="26"/>
                </a:lnTo>
                <a:lnTo>
                  <a:pt x="62" y="23"/>
                </a:lnTo>
                <a:lnTo>
                  <a:pt x="44" y="0"/>
                </a:lnTo>
                <a:lnTo>
                  <a:pt x="41" y="3"/>
                </a:lnTo>
                <a:lnTo>
                  <a:pt x="38" y="6"/>
                </a:lnTo>
                <a:lnTo>
                  <a:pt x="38" y="3"/>
                </a:lnTo>
                <a:lnTo>
                  <a:pt x="35" y="6"/>
                </a:lnTo>
                <a:lnTo>
                  <a:pt x="32" y="6"/>
                </a:lnTo>
                <a:lnTo>
                  <a:pt x="29" y="9"/>
                </a:lnTo>
                <a:lnTo>
                  <a:pt x="26" y="9"/>
                </a:lnTo>
                <a:lnTo>
                  <a:pt x="26" y="12"/>
                </a:lnTo>
                <a:lnTo>
                  <a:pt x="23" y="12"/>
                </a:lnTo>
                <a:lnTo>
                  <a:pt x="17" y="12"/>
                </a:lnTo>
                <a:lnTo>
                  <a:pt x="17" y="12"/>
                </a:lnTo>
                <a:lnTo>
                  <a:pt x="12" y="12"/>
                </a:lnTo>
                <a:lnTo>
                  <a:pt x="12" y="15"/>
                </a:lnTo>
                <a:lnTo>
                  <a:pt x="6" y="15"/>
                </a:lnTo>
                <a:lnTo>
                  <a:pt x="3" y="15"/>
                </a:lnTo>
                <a:lnTo>
                  <a:pt x="0" y="15"/>
                </a:lnTo>
                <a:lnTo>
                  <a:pt x="0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6" name="Freeform 175">
            <a:extLst>
              <a:ext uri="{FF2B5EF4-FFF2-40B4-BE49-F238E27FC236}">
                <a16:creationId xmlns:a16="http://schemas.microsoft.com/office/drawing/2014/main" id="{00000000-0008-0000-0100-0000B0000000}"/>
              </a:ext>
            </a:extLst>
          </xdr:cNvPr>
          <xdr:cNvSpPr/>
        </xdr:nvSpPr>
        <xdr:spPr>
          <a:xfrm>
            <a:off x="10800" y="10007"/>
            <a:ext cx="59" cy="25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5"/>
              </a:cxn>
              <a:cxn ang="0">
                <a:pos x="59" y="25"/>
              </a:cxn>
              <a:cxn ang="0">
                <a:pos x="59" y="0"/>
              </a:cxn>
              <a:cxn ang="0">
                <a:pos x="15" y="0"/>
              </a:cxn>
              <a:cxn ang="0">
                <a:pos x="29" y="14"/>
              </a:cxn>
              <a:cxn ang="0">
                <a:pos x="0" y="11"/>
              </a:cxn>
              <a:cxn ang="0">
                <a:pos x="0" y="25"/>
              </a:cxn>
              <a:cxn ang="0">
                <a:pos x="15" y="25"/>
              </a:cxn>
              <a:cxn ang="0">
                <a:pos x="0" y="11"/>
              </a:cxn>
            </a:cxnLst>
            <a:rect l="0" t="0" r="r" b="b"/>
            <a:pathLst>
              <a:path w="59" h="25">
                <a:moveTo>
                  <a:pt x="0" y="11"/>
                </a:moveTo>
                <a:lnTo>
                  <a:pt x="15" y="25"/>
                </a:lnTo>
                <a:lnTo>
                  <a:pt x="59" y="25"/>
                </a:lnTo>
                <a:lnTo>
                  <a:pt x="59" y="0"/>
                </a:lnTo>
                <a:lnTo>
                  <a:pt x="15" y="0"/>
                </a:lnTo>
                <a:lnTo>
                  <a:pt x="29" y="14"/>
                </a:lnTo>
                <a:lnTo>
                  <a:pt x="0" y="11"/>
                </a:lnTo>
                <a:lnTo>
                  <a:pt x="0" y="25"/>
                </a:lnTo>
                <a:lnTo>
                  <a:pt x="15" y="25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7" name="Freeform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/>
        </xdr:nvSpPr>
        <xdr:spPr>
          <a:xfrm>
            <a:off x="10868" y="9955"/>
            <a:ext cx="35" cy="34"/>
          </a:xfrm>
          <a:custGeom>
            <a:avLst/>
            <a:gdLst/>
            <a:ahLst/>
            <a:cxnLst>
              <a:cxn ang="0">
                <a:pos x="11" y="0"/>
              </a:cxn>
              <a:cxn ang="0">
                <a:pos x="11" y="0"/>
              </a:cxn>
              <a:cxn ang="0">
                <a:pos x="8" y="3"/>
              </a:cxn>
              <a:cxn ang="0">
                <a:pos x="8" y="3"/>
              </a:cxn>
              <a:cxn ang="0">
                <a:pos x="5" y="5"/>
              </a:cxn>
              <a:cxn ang="0">
                <a:pos x="5" y="5"/>
              </a:cxn>
              <a:cxn ang="0">
                <a:pos x="3" y="5"/>
              </a:cxn>
              <a:cxn ang="0">
                <a:pos x="5" y="5"/>
              </a:cxn>
              <a:cxn ang="0">
                <a:pos x="3" y="8"/>
              </a:cxn>
              <a:cxn ang="0">
                <a:pos x="0" y="8"/>
              </a:cxn>
              <a:cxn ang="0">
                <a:pos x="0" y="34"/>
              </a:cxn>
              <a:cxn ang="0">
                <a:pos x="5" y="34"/>
              </a:cxn>
              <a:cxn ang="0">
                <a:pos x="11" y="34"/>
              </a:cxn>
              <a:cxn ang="0">
                <a:pos x="17" y="31"/>
              </a:cxn>
              <a:cxn ang="0">
                <a:pos x="20" y="29"/>
              </a:cxn>
              <a:cxn ang="0">
                <a:pos x="23" y="26"/>
              </a:cxn>
              <a:cxn ang="0">
                <a:pos x="29" y="23"/>
              </a:cxn>
              <a:cxn ang="0">
                <a:pos x="32" y="20"/>
              </a:cxn>
              <a:cxn ang="0">
                <a:pos x="35" y="14"/>
              </a:cxn>
              <a:cxn ang="0">
                <a:pos x="35" y="14"/>
              </a:cxn>
              <a:cxn ang="0">
                <a:pos x="11" y="0"/>
              </a:cxn>
            </a:cxnLst>
            <a:rect l="0" t="0" r="r" b="b"/>
            <a:pathLst>
              <a:path w="35" h="34">
                <a:moveTo>
                  <a:pt x="11" y="0"/>
                </a:moveTo>
                <a:lnTo>
                  <a:pt x="11" y="0"/>
                </a:lnTo>
                <a:lnTo>
                  <a:pt x="8" y="3"/>
                </a:lnTo>
                <a:lnTo>
                  <a:pt x="8" y="3"/>
                </a:lnTo>
                <a:lnTo>
                  <a:pt x="5" y="5"/>
                </a:lnTo>
                <a:lnTo>
                  <a:pt x="5" y="5"/>
                </a:lnTo>
                <a:lnTo>
                  <a:pt x="3" y="5"/>
                </a:lnTo>
                <a:lnTo>
                  <a:pt x="5" y="5"/>
                </a:lnTo>
                <a:lnTo>
                  <a:pt x="3" y="8"/>
                </a:lnTo>
                <a:lnTo>
                  <a:pt x="0" y="8"/>
                </a:lnTo>
                <a:lnTo>
                  <a:pt x="0" y="34"/>
                </a:lnTo>
                <a:lnTo>
                  <a:pt x="5" y="34"/>
                </a:lnTo>
                <a:lnTo>
                  <a:pt x="11" y="34"/>
                </a:lnTo>
                <a:lnTo>
                  <a:pt x="17" y="31"/>
                </a:lnTo>
                <a:lnTo>
                  <a:pt x="20" y="29"/>
                </a:lnTo>
                <a:lnTo>
                  <a:pt x="23" y="26"/>
                </a:lnTo>
                <a:lnTo>
                  <a:pt x="29" y="23"/>
                </a:lnTo>
                <a:lnTo>
                  <a:pt x="32" y="20"/>
                </a:lnTo>
                <a:lnTo>
                  <a:pt x="35" y="14"/>
                </a:lnTo>
                <a:lnTo>
                  <a:pt x="35" y="14"/>
                </a:lnTo>
                <a:lnTo>
                  <a:pt x="1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8" name="Freeform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10879" y="9932"/>
            <a:ext cx="36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6" y="3"/>
              </a:cxn>
              <a:cxn ang="0">
                <a:pos x="6" y="5"/>
              </a:cxn>
              <a:cxn ang="0">
                <a:pos x="6" y="8"/>
              </a:cxn>
              <a:cxn ang="0">
                <a:pos x="6" y="11"/>
              </a:cxn>
              <a:cxn ang="0">
                <a:pos x="3" y="17"/>
              </a:cxn>
              <a:cxn ang="0">
                <a:pos x="0" y="20"/>
              </a:cxn>
              <a:cxn ang="0">
                <a:pos x="0" y="20"/>
              </a:cxn>
              <a:cxn ang="0">
                <a:pos x="0" y="23"/>
              </a:cxn>
              <a:cxn ang="0">
                <a:pos x="24" y="37"/>
              </a:cxn>
              <a:cxn ang="0">
                <a:pos x="27" y="34"/>
              </a:cxn>
              <a:cxn ang="0">
                <a:pos x="30" y="28"/>
              </a:cxn>
              <a:cxn ang="0">
                <a:pos x="30" y="23"/>
              </a:cxn>
              <a:cxn ang="0">
                <a:pos x="33" y="20"/>
              </a:cxn>
              <a:cxn ang="0">
                <a:pos x="33" y="17"/>
              </a:cxn>
              <a:cxn ang="0">
                <a:pos x="33" y="11"/>
              </a:cxn>
              <a:cxn ang="0">
                <a:pos x="36" y="8"/>
              </a:cxn>
              <a:cxn ang="0">
                <a:pos x="36" y="3"/>
              </a:cxn>
              <a:cxn ang="0">
                <a:pos x="36" y="0"/>
              </a:cxn>
              <a:cxn ang="0">
                <a:pos x="9" y="0"/>
              </a:cxn>
            </a:cxnLst>
            <a:rect l="0" t="0" r="r" b="b"/>
            <a:pathLst>
              <a:path w="36" h="37">
                <a:moveTo>
                  <a:pt x="9" y="0"/>
                </a:moveTo>
                <a:lnTo>
                  <a:pt x="9" y="0"/>
                </a:lnTo>
                <a:lnTo>
                  <a:pt x="6" y="3"/>
                </a:lnTo>
                <a:lnTo>
                  <a:pt x="6" y="5"/>
                </a:lnTo>
                <a:lnTo>
                  <a:pt x="6" y="8"/>
                </a:lnTo>
                <a:lnTo>
                  <a:pt x="6" y="11"/>
                </a:lnTo>
                <a:lnTo>
                  <a:pt x="3" y="17"/>
                </a:lnTo>
                <a:lnTo>
                  <a:pt x="0" y="20"/>
                </a:lnTo>
                <a:lnTo>
                  <a:pt x="0" y="20"/>
                </a:lnTo>
                <a:lnTo>
                  <a:pt x="0" y="23"/>
                </a:lnTo>
                <a:lnTo>
                  <a:pt x="24" y="37"/>
                </a:lnTo>
                <a:lnTo>
                  <a:pt x="27" y="34"/>
                </a:lnTo>
                <a:lnTo>
                  <a:pt x="30" y="28"/>
                </a:lnTo>
                <a:lnTo>
                  <a:pt x="30" y="23"/>
                </a:lnTo>
                <a:lnTo>
                  <a:pt x="33" y="20"/>
                </a:lnTo>
                <a:lnTo>
                  <a:pt x="33" y="17"/>
                </a:lnTo>
                <a:lnTo>
                  <a:pt x="33" y="11"/>
                </a:lnTo>
                <a:lnTo>
                  <a:pt x="36" y="8"/>
                </a:lnTo>
                <a:lnTo>
                  <a:pt x="36" y="3"/>
                </a:lnTo>
                <a:lnTo>
                  <a:pt x="36" y="0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9" name="Freeform 178">
            <a:extLst>
              <a:ext uri="{FF2B5EF4-FFF2-40B4-BE49-F238E27FC236}">
                <a16:creationId xmlns:a16="http://schemas.microsoft.com/office/drawing/2014/main" id="{00000000-0008-0000-0100-0000B3000000}"/>
              </a:ext>
            </a:extLst>
          </xdr:cNvPr>
          <xdr:cNvSpPr/>
        </xdr:nvSpPr>
        <xdr:spPr>
          <a:xfrm>
            <a:off x="10888" y="9926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27" y="6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27" y="6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0" name="Freeform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SpPr/>
        </xdr:nvSpPr>
        <xdr:spPr>
          <a:xfrm>
            <a:off x="10888" y="9920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27" y="6"/>
              </a:cxn>
              <a:cxn ang="0">
                <a:pos x="27" y="3"/>
              </a:cxn>
              <a:cxn ang="0">
                <a:pos x="27" y="3"/>
              </a:cxn>
              <a:cxn ang="0">
                <a:pos x="27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27" y="6"/>
                </a:lnTo>
                <a:lnTo>
                  <a:pt x="27" y="3"/>
                </a:lnTo>
                <a:lnTo>
                  <a:pt x="27" y="3"/>
                </a:lnTo>
                <a:lnTo>
                  <a:pt x="27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1" name="Freeform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10888" y="9914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2" name="Freeform 181">
            <a:extLst>
              <a:ext uri="{FF2B5EF4-FFF2-40B4-BE49-F238E27FC236}">
                <a16:creationId xmlns:a16="http://schemas.microsoft.com/office/drawing/2014/main" id="{00000000-0008-0000-0100-0000B6000000}"/>
              </a:ext>
            </a:extLst>
          </xdr:cNvPr>
          <xdr:cNvSpPr/>
        </xdr:nvSpPr>
        <xdr:spPr>
          <a:xfrm>
            <a:off x="10871" y="9871"/>
            <a:ext cx="47" cy="43"/>
          </a:xfrm>
          <a:custGeom>
            <a:avLst/>
            <a:gdLst/>
            <a:ahLst/>
            <a:cxnLst>
              <a:cxn ang="0">
                <a:pos x="26" y="15"/>
              </a:cxn>
              <a:cxn ang="0">
                <a:pos x="11" y="26"/>
              </a:cxn>
              <a:cxn ang="0">
                <a:pos x="14" y="29"/>
              </a:cxn>
              <a:cxn ang="0">
                <a:pos x="14" y="29"/>
              </a:cxn>
              <a:cxn ang="0">
                <a:pos x="14" y="29"/>
              </a:cxn>
              <a:cxn ang="0">
                <a:pos x="14" y="29"/>
              </a:cxn>
              <a:cxn ang="0">
                <a:pos x="17" y="32"/>
              </a:cxn>
              <a:cxn ang="0">
                <a:pos x="17" y="35"/>
              </a:cxn>
              <a:cxn ang="0">
                <a:pos x="17" y="38"/>
              </a:cxn>
              <a:cxn ang="0">
                <a:pos x="17" y="43"/>
              </a:cxn>
              <a:cxn ang="0">
                <a:pos x="47" y="43"/>
              </a:cxn>
              <a:cxn ang="0">
                <a:pos x="44" y="35"/>
              </a:cxn>
              <a:cxn ang="0">
                <a:pos x="44" y="26"/>
              </a:cxn>
              <a:cxn ang="0">
                <a:pos x="41" y="20"/>
              </a:cxn>
              <a:cxn ang="0">
                <a:pos x="38" y="15"/>
              </a:cxn>
              <a:cxn ang="0">
                <a:pos x="35" y="9"/>
              </a:cxn>
              <a:cxn ang="0">
                <a:pos x="26" y="3"/>
              </a:cxn>
              <a:cxn ang="0">
                <a:pos x="17" y="0"/>
              </a:cxn>
              <a:cxn ang="0">
                <a:pos x="11" y="0"/>
              </a:cxn>
              <a:cxn ang="0">
                <a:pos x="0" y="12"/>
              </a:cxn>
              <a:cxn ang="0">
                <a:pos x="11" y="0"/>
              </a:cxn>
              <a:cxn ang="0">
                <a:pos x="0" y="0"/>
              </a:cxn>
              <a:cxn ang="0">
                <a:pos x="0" y="12"/>
              </a:cxn>
              <a:cxn ang="0">
                <a:pos x="26" y="15"/>
              </a:cxn>
            </a:cxnLst>
            <a:rect l="0" t="0" r="r" b="b"/>
            <a:pathLst>
              <a:path w="47" h="43">
                <a:moveTo>
                  <a:pt x="26" y="15"/>
                </a:moveTo>
                <a:lnTo>
                  <a:pt x="11" y="26"/>
                </a:lnTo>
                <a:lnTo>
                  <a:pt x="14" y="29"/>
                </a:lnTo>
                <a:lnTo>
                  <a:pt x="14" y="29"/>
                </a:lnTo>
                <a:lnTo>
                  <a:pt x="14" y="29"/>
                </a:lnTo>
                <a:lnTo>
                  <a:pt x="14" y="29"/>
                </a:lnTo>
                <a:lnTo>
                  <a:pt x="17" y="32"/>
                </a:lnTo>
                <a:lnTo>
                  <a:pt x="17" y="35"/>
                </a:lnTo>
                <a:lnTo>
                  <a:pt x="17" y="38"/>
                </a:lnTo>
                <a:lnTo>
                  <a:pt x="17" y="43"/>
                </a:lnTo>
                <a:lnTo>
                  <a:pt x="47" y="43"/>
                </a:lnTo>
                <a:lnTo>
                  <a:pt x="44" y="35"/>
                </a:lnTo>
                <a:lnTo>
                  <a:pt x="44" y="26"/>
                </a:lnTo>
                <a:lnTo>
                  <a:pt x="41" y="20"/>
                </a:lnTo>
                <a:lnTo>
                  <a:pt x="38" y="15"/>
                </a:lnTo>
                <a:lnTo>
                  <a:pt x="35" y="9"/>
                </a:lnTo>
                <a:lnTo>
                  <a:pt x="26" y="3"/>
                </a:lnTo>
                <a:lnTo>
                  <a:pt x="17" y="0"/>
                </a:lnTo>
                <a:lnTo>
                  <a:pt x="11" y="0"/>
                </a:lnTo>
                <a:lnTo>
                  <a:pt x="0" y="12"/>
                </a:lnTo>
                <a:lnTo>
                  <a:pt x="11" y="0"/>
                </a:lnTo>
                <a:lnTo>
                  <a:pt x="0" y="0"/>
                </a:lnTo>
                <a:lnTo>
                  <a:pt x="0" y="12"/>
                </a:lnTo>
                <a:lnTo>
                  <a:pt x="2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3" name="Freeform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/>
        </xdr:nvSpPr>
        <xdr:spPr>
          <a:xfrm>
            <a:off x="10853" y="9883"/>
            <a:ext cx="44" cy="106"/>
          </a:xfrm>
          <a:custGeom>
            <a:avLst/>
            <a:gdLst/>
            <a:ahLst/>
            <a:cxnLst>
              <a:cxn ang="0">
                <a:pos x="18" y="77"/>
              </a:cxn>
              <a:cxn ang="0">
                <a:pos x="29" y="95"/>
              </a:cxn>
              <a:cxn ang="0">
                <a:pos x="44" y="3"/>
              </a:cxn>
              <a:cxn ang="0">
                <a:pos x="18" y="0"/>
              </a:cxn>
              <a:cxn ang="0">
                <a:pos x="3" y="92"/>
              </a:cxn>
              <a:cxn ang="0">
                <a:pos x="18" y="106"/>
              </a:cxn>
              <a:cxn ang="0">
                <a:pos x="3" y="92"/>
              </a:cxn>
              <a:cxn ang="0">
                <a:pos x="0" y="106"/>
              </a:cxn>
              <a:cxn ang="0">
                <a:pos x="18" y="106"/>
              </a:cxn>
              <a:cxn ang="0">
                <a:pos x="18" y="77"/>
              </a:cxn>
            </a:cxnLst>
            <a:rect l="0" t="0" r="r" b="b"/>
            <a:pathLst>
              <a:path w="44" h="106">
                <a:moveTo>
                  <a:pt x="18" y="77"/>
                </a:moveTo>
                <a:lnTo>
                  <a:pt x="29" y="95"/>
                </a:lnTo>
                <a:lnTo>
                  <a:pt x="44" y="3"/>
                </a:lnTo>
                <a:lnTo>
                  <a:pt x="18" y="0"/>
                </a:lnTo>
                <a:lnTo>
                  <a:pt x="3" y="92"/>
                </a:lnTo>
                <a:lnTo>
                  <a:pt x="18" y="106"/>
                </a:lnTo>
                <a:lnTo>
                  <a:pt x="3" y="92"/>
                </a:lnTo>
                <a:lnTo>
                  <a:pt x="0" y="106"/>
                </a:lnTo>
                <a:lnTo>
                  <a:pt x="18" y="106"/>
                </a:lnTo>
                <a:lnTo>
                  <a:pt x="18" y="7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4" name="Freeform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9667" y="9840"/>
            <a:ext cx="141" cy="181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50" y="120"/>
              </a:cxn>
              <a:cxn ang="0">
                <a:pos x="50" y="123"/>
              </a:cxn>
              <a:cxn ang="0">
                <a:pos x="50" y="126"/>
              </a:cxn>
              <a:cxn ang="0">
                <a:pos x="50" y="132"/>
              </a:cxn>
              <a:cxn ang="0">
                <a:pos x="53" y="135"/>
              </a:cxn>
              <a:cxn ang="0">
                <a:pos x="56" y="135"/>
              </a:cxn>
              <a:cxn ang="0">
                <a:pos x="62" y="135"/>
              </a:cxn>
              <a:cxn ang="0">
                <a:pos x="65" y="135"/>
              </a:cxn>
              <a:cxn ang="0">
                <a:pos x="68" y="132"/>
              </a:cxn>
              <a:cxn ang="0">
                <a:pos x="71" y="129"/>
              </a:cxn>
              <a:cxn ang="0">
                <a:pos x="74" y="126"/>
              </a:cxn>
              <a:cxn ang="0">
                <a:pos x="74" y="123"/>
              </a:cxn>
              <a:cxn ang="0">
                <a:pos x="91" y="0"/>
              </a:cxn>
              <a:cxn ang="0">
                <a:pos x="121" y="118"/>
              </a:cxn>
              <a:cxn ang="0">
                <a:pos x="118" y="129"/>
              </a:cxn>
              <a:cxn ang="0">
                <a:pos x="115" y="141"/>
              </a:cxn>
              <a:cxn ang="0">
                <a:pos x="112" y="152"/>
              </a:cxn>
              <a:cxn ang="0">
                <a:pos x="106" y="158"/>
              </a:cxn>
              <a:cxn ang="0">
                <a:pos x="100" y="167"/>
              </a:cxn>
              <a:cxn ang="0">
                <a:pos x="91" y="169"/>
              </a:cxn>
              <a:cxn ang="0">
                <a:pos x="85" y="175"/>
              </a:cxn>
              <a:cxn ang="0">
                <a:pos x="80" y="178"/>
              </a:cxn>
              <a:cxn ang="0">
                <a:pos x="71" y="178"/>
              </a:cxn>
              <a:cxn ang="0">
                <a:pos x="65" y="181"/>
              </a:cxn>
              <a:cxn ang="0">
                <a:pos x="59" y="181"/>
              </a:cxn>
              <a:cxn ang="0">
                <a:pos x="50" y="181"/>
              </a:cxn>
              <a:cxn ang="0">
                <a:pos x="38" y="181"/>
              </a:cxn>
              <a:cxn ang="0">
                <a:pos x="30" y="178"/>
              </a:cxn>
              <a:cxn ang="0">
                <a:pos x="21" y="175"/>
              </a:cxn>
              <a:cxn ang="0">
                <a:pos x="15" y="169"/>
              </a:cxn>
              <a:cxn ang="0">
                <a:pos x="9" y="164"/>
              </a:cxn>
              <a:cxn ang="0">
                <a:pos x="6" y="155"/>
              </a:cxn>
              <a:cxn ang="0">
                <a:pos x="3" y="144"/>
              </a:cxn>
              <a:cxn ang="0">
                <a:pos x="0" y="135"/>
              </a:cxn>
              <a:cxn ang="0">
                <a:pos x="3" y="129"/>
              </a:cxn>
              <a:cxn ang="0">
                <a:pos x="3" y="123"/>
              </a:cxn>
              <a:cxn ang="0">
                <a:pos x="3" y="120"/>
              </a:cxn>
              <a:cxn ang="0">
                <a:pos x="3" y="118"/>
              </a:cxn>
            </a:cxnLst>
            <a:rect l="0" t="0" r="r" b="b"/>
            <a:pathLst>
              <a:path w="141" h="181">
                <a:moveTo>
                  <a:pt x="21" y="0"/>
                </a:moveTo>
                <a:lnTo>
                  <a:pt x="68" y="0"/>
                </a:lnTo>
                <a:lnTo>
                  <a:pt x="50" y="118"/>
                </a:lnTo>
                <a:lnTo>
                  <a:pt x="50" y="120"/>
                </a:lnTo>
                <a:lnTo>
                  <a:pt x="50" y="123"/>
                </a:lnTo>
                <a:lnTo>
                  <a:pt x="50" y="123"/>
                </a:lnTo>
                <a:lnTo>
                  <a:pt x="50" y="123"/>
                </a:lnTo>
                <a:lnTo>
                  <a:pt x="50" y="126"/>
                </a:lnTo>
                <a:lnTo>
                  <a:pt x="50" y="129"/>
                </a:lnTo>
                <a:lnTo>
                  <a:pt x="50" y="132"/>
                </a:lnTo>
                <a:lnTo>
                  <a:pt x="53" y="132"/>
                </a:lnTo>
                <a:lnTo>
                  <a:pt x="53" y="135"/>
                </a:lnTo>
                <a:lnTo>
                  <a:pt x="56" y="135"/>
                </a:ln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5"/>
                </a:lnTo>
                <a:lnTo>
                  <a:pt x="65" y="135"/>
                </a:lnTo>
                <a:lnTo>
                  <a:pt x="68" y="132"/>
                </a:lnTo>
                <a:lnTo>
                  <a:pt x="68" y="132"/>
                </a:lnTo>
                <a:lnTo>
                  <a:pt x="71" y="132"/>
                </a:lnTo>
                <a:lnTo>
                  <a:pt x="71" y="129"/>
                </a:lnTo>
                <a:lnTo>
                  <a:pt x="71" y="129"/>
                </a:lnTo>
                <a:lnTo>
                  <a:pt x="74" y="126"/>
                </a:lnTo>
                <a:lnTo>
                  <a:pt x="74" y="126"/>
                </a:lnTo>
                <a:lnTo>
                  <a:pt x="74" y="123"/>
                </a:lnTo>
                <a:lnTo>
                  <a:pt x="74" y="123"/>
                </a:lnTo>
                <a:lnTo>
                  <a:pt x="91" y="0"/>
                </a:lnTo>
                <a:lnTo>
                  <a:pt x="141" y="0"/>
                </a:lnTo>
                <a:lnTo>
                  <a:pt x="121" y="118"/>
                </a:lnTo>
                <a:lnTo>
                  <a:pt x="121" y="123"/>
                </a:lnTo>
                <a:lnTo>
                  <a:pt x="118" y="129"/>
                </a:lnTo>
                <a:lnTo>
                  <a:pt x="118" y="135"/>
                </a:lnTo>
                <a:lnTo>
                  <a:pt x="115" y="141"/>
                </a:lnTo>
                <a:lnTo>
                  <a:pt x="112" y="146"/>
                </a:lnTo>
                <a:lnTo>
                  <a:pt x="112" y="152"/>
                </a:lnTo>
                <a:lnTo>
                  <a:pt x="109" y="155"/>
                </a:lnTo>
                <a:lnTo>
                  <a:pt x="106" y="158"/>
                </a:lnTo>
                <a:lnTo>
                  <a:pt x="103" y="164"/>
                </a:lnTo>
                <a:lnTo>
                  <a:pt x="100" y="167"/>
                </a:lnTo>
                <a:lnTo>
                  <a:pt x="97" y="169"/>
                </a:lnTo>
                <a:lnTo>
                  <a:pt x="91" y="169"/>
                </a:lnTo>
                <a:lnTo>
                  <a:pt x="88" y="172"/>
                </a:lnTo>
                <a:lnTo>
                  <a:pt x="85" y="175"/>
                </a:lnTo>
                <a:lnTo>
                  <a:pt x="83" y="175"/>
                </a:lnTo>
                <a:lnTo>
                  <a:pt x="80" y="178"/>
                </a:lnTo>
                <a:lnTo>
                  <a:pt x="77" y="178"/>
                </a:lnTo>
                <a:lnTo>
                  <a:pt x="71" y="178"/>
                </a:lnTo>
                <a:lnTo>
                  <a:pt x="68" y="181"/>
                </a:lnTo>
                <a:lnTo>
                  <a:pt x="65" y="181"/>
                </a:lnTo>
                <a:lnTo>
                  <a:pt x="62" y="181"/>
                </a:lnTo>
                <a:lnTo>
                  <a:pt x="59" y="181"/>
                </a:lnTo>
                <a:lnTo>
                  <a:pt x="53" y="181"/>
                </a:lnTo>
                <a:lnTo>
                  <a:pt x="50" y="181"/>
                </a:lnTo>
                <a:lnTo>
                  <a:pt x="44" y="181"/>
                </a:lnTo>
                <a:lnTo>
                  <a:pt x="38" y="181"/>
                </a:lnTo>
                <a:lnTo>
                  <a:pt x="35" y="181"/>
                </a:lnTo>
                <a:lnTo>
                  <a:pt x="30" y="178"/>
                </a:lnTo>
                <a:lnTo>
                  <a:pt x="24" y="178"/>
                </a:lnTo>
                <a:lnTo>
                  <a:pt x="21" y="175"/>
                </a:lnTo>
                <a:lnTo>
                  <a:pt x="18" y="172"/>
                </a:lnTo>
                <a:lnTo>
                  <a:pt x="15" y="169"/>
                </a:lnTo>
                <a:lnTo>
                  <a:pt x="12" y="167"/>
                </a:lnTo>
                <a:lnTo>
                  <a:pt x="9" y="164"/>
                </a:lnTo>
                <a:lnTo>
                  <a:pt x="6" y="158"/>
                </a:lnTo>
                <a:lnTo>
                  <a:pt x="6" y="155"/>
                </a:lnTo>
                <a:lnTo>
                  <a:pt x="3" y="149"/>
                </a:lnTo>
                <a:lnTo>
                  <a:pt x="3" y="144"/>
                </a:lnTo>
                <a:lnTo>
                  <a:pt x="0" y="141"/>
                </a:lnTo>
                <a:lnTo>
                  <a:pt x="0" y="135"/>
                </a:lnTo>
                <a:lnTo>
                  <a:pt x="0" y="132"/>
                </a:lnTo>
                <a:lnTo>
                  <a:pt x="3" y="129"/>
                </a:lnTo>
                <a:lnTo>
                  <a:pt x="3" y="126"/>
                </a:lnTo>
                <a:lnTo>
                  <a:pt x="3" y="123"/>
                </a:lnTo>
                <a:lnTo>
                  <a:pt x="3" y="123"/>
                </a:lnTo>
                <a:lnTo>
                  <a:pt x="3" y="120"/>
                </a:lnTo>
                <a:lnTo>
                  <a:pt x="3" y="118"/>
                </a:lnTo>
                <a:lnTo>
                  <a:pt x="3" y="118"/>
                </a:lnTo>
                <a:lnTo>
                  <a:pt x="21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5" name="Freeform 184">
            <a:extLst>
              <a:ext uri="{FF2B5EF4-FFF2-40B4-BE49-F238E27FC236}">
                <a16:creationId xmlns:a16="http://schemas.microsoft.com/office/drawing/2014/main" id="{00000000-0008-0000-0100-0000B9000000}"/>
              </a:ext>
            </a:extLst>
          </xdr:cNvPr>
          <xdr:cNvSpPr/>
        </xdr:nvSpPr>
        <xdr:spPr>
          <a:xfrm>
            <a:off x="9800" y="9840"/>
            <a:ext cx="150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91" y="106"/>
              </a:cxn>
              <a:cxn ang="0">
                <a:pos x="94" y="95"/>
              </a:cxn>
              <a:cxn ang="0">
                <a:pos x="94" y="86"/>
              </a:cxn>
              <a:cxn ang="0">
                <a:pos x="94" y="77"/>
              </a:cxn>
              <a:cxn ang="0">
                <a:pos x="94" y="69"/>
              </a:cxn>
              <a:cxn ang="0">
                <a:pos x="94" y="63"/>
              </a:cxn>
              <a:cxn ang="0">
                <a:pos x="97" y="57"/>
              </a:cxn>
              <a:cxn ang="0">
                <a:pos x="97" y="51"/>
              </a:cxn>
              <a:cxn ang="0">
                <a:pos x="97" y="46"/>
              </a:cxn>
              <a:cxn ang="0">
                <a:pos x="97" y="43"/>
              </a:cxn>
              <a:cxn ang="0">
                <a:pos x="97" y="37"/>
              </a:cxn>
              <a:cxn ang="0">
                <a:pos x="100" y="31"/>
              </a:cxn>
              <a:cxn ang="0">
                <a:pos x="103" y="23"/>
              </a:cxn>
              <a:cxn ang="0">
                <a:pos x="103" y="17"/>
              </a:cxn>
              <a:cxn ang="0">
                <a:pos x="103" y="11"/>
              </a:cxn>
              <a:cxn ang="0">
                <a:pos x="103" y="5"/>
              </a:cxn>
              <a:cxn ang="0">
                <a:pos x="103" y="0"/>
              </a:cxn>
              <a:cxn ang="0">
                <a:pos x="120" y="178"/>
              </a:cxn>
              <a:cxn ang="0">
                <a:pos x="55" y="74"/>
              </a:cxn>
              <a:cxn ang="0">
                <a:pos x="55" y="83"/>
              </a:cxn>
              <a:cxn ang="0">
                <a:pos x="55" y="92"/>
              </a:cxn>
              <a:cxn ang="0">
                <a:pos x="55" y="100"/>
              </a:cxn>
              <a:cxn ang="0">
                <a:pos x="55" y="106"/>
              </a:cxn>
              <a:cxn ang="0">
                <a:pos x="53" y="112"/>
              </a:cxn>
              <a:cxn ang="0">
                <a:pos x="53" y="118"/>
              </a:cxn>
              <a:cxn ang="0">
                <a:pos x="53" y="123"/>
              </a:cxn>
              <a:cxn ang="0">
                <a:pos x="53" y="126"/>
              </a:cxn>
              <a:cxn ang="0">
                <a:pos x="50" y="132"/>
              </a:cxn>
              <a:cxn ang="0">
                <a:pos x="50" y="138"/>
              </a:cxn>
              <a:cxn ang="0">
                <a:pos x="50" y="144"/>
              </a:cxn>
              <a:cxn ang="0">
                <a:pos x="50" y="152"/>
              </a:cxn>
              <a:cxn ang="0">
                <a:pos x="47" y="158"/>
              </a:cxn>
              <a:cxn ang="0">
                <a:pos x="47" y="164"/>
              </a:cxn>
              <a:cxn ang="0">
                <a:pos x="47" y="172"/>
              </a:cxn>
              <a:cxn ang="0">
                <a:pos x="44" y="178"/>
              </a:cxn>
            </a:cxnLst>
            <a:rect l="0" t="0" r="r" b="b"/>
            <a:pathLst>
              <a:path w="150" h="178">
                <a:moveTo>
                  <a:pt x="0" y="178"/>
                </a:moveTo>
                <a:lnTo>
                  <a:pt x="26" y="0"/>
                </a:lnTo>
                <a:lnTo>
                  <a:pt x="70" y="0"/>
                </a:lnTo>
                <a:lnTo>
                  <a:pt x="91" y="106"/>
                </a:lnTo>
                <a:lnTo>
                  <a:pt x="94" y="100"/>
                </a:lnTo>
                <a:lnTo>
                  <a:pt x="94" y="95"/>
                </a:lnTo>
                <a:lnTo>
                  <a:pt x="94" y="92"/>
                </a:lnTo>
                <a:lnTo>
                  <a:pt x="94" y="86"/>
                </a:lnTo>
                <a:lnTo>
                  <a:pt x="94" y="80"/>
                </a:lnTo>
                <a:lnTo>
                  <a:pt x="94" y="77"/>
                </a:lnTo>
                <a:lnTo>
                  <a:pt x="94" y="74"/>
                </a:lnTo>
                <a:lnTo>
                  <a:pt x="94" y="69"/>
                </a:lnTo>
                <a:lnTo>
                  <a:pt x="94" y="66"/>
                </a:lnTo>
                <a:lnTo>
                  <a:pt x="94" y="63"/>
                </a:lnTo>
                <a:lnTo>
                  <a:pt x="94" y="60"/>
                </a:lnTo>
                <a:lnTo>
                  <a:pt x="97" y="57"/>
                </a:lnTo>
                <a:lnTo>
                  <a:pt x="97" y="54"/>
                </a:lnTo>
                <a:lnTo>
                  <a:pt x="97" y="51"/>
                </a:lnTo>
                <a:lnTo>
                  <a:pt x="97" y="48"/>
                </a:lnTo>
                <a:lnTo>
                  <a:pt x="97" y="46"/>
                </a:lnTo>
                <a:lnTo>
                  <a:pt x="97" y="46"/>
                </a:lnTo>
                <a:lnTo>
                  <a:pt x="97" y="43"/>
                </a:lnTo>
                <a:lnTo>
                  <a:pt x="97" y="40"/>
                </a:lnTo>
                <a:lnTo>
                  <a:pt x="97" y="37"/>
                </a:lnTo>
                <a:lnTo>
                  <a:pt x="100" y="34"/>
                </a:lnTo>
                <a:lnTo>
                  <a:pt x="100" y="31"/>
                </a:lnTo>
                <a:lnTo>
                  <a:pt x="100" y="28"/>
                </a:lnTo>
                <a:lnTo>
                  <a:pt x="103" y="23"/>
                </a:lnTo>
                <a:lnTo>
                  <a:pt x="103" y="20"/>
                </a:lnTo>
                <a:lnTo>
                  <a:pt x="103" y="17"/>
                </a:lnTo>
                <a:lnTo>
                  <a:pt x="103" y="14"/>
                </a:lnTo>
                <a:lnTo>
                  <a:pt x="103" y="11"/>
                </a:lnTo>
                <a:lnTo>
                  <a:pt x="103" y="8"/>
                </a:lnTo>
                <a:lnTo>
                  <a:pt x="103" y="5"/>
                </a:lnTo>
                <a:lnTo>
                  <a:pt x="103" y="2"/>
                </a:lnTo>
                <a:lnTo>
                  <a:pt x="103" y="0"/>
                </a:lnTo>
                <a:lnTo>
                  <a:pt x="150" y="0"/>
                </a:lnTo>
                <a:lnTo>
                  <a:pt x="120" y="178"/>
                </a:lnTo>
                <a:lnTo>
                  <a:pt x="76" y="178"/>
                </a:lnTo>
                <a:lnTo>
                  <a:pt x="55" y="74"/>
                </a:lnTo>
                <a:lnTo>
                  <a:pt x="55" y="80"/>
                </a:lnTo>
                <a:lnTo>
                  <a:pt x="55" y="83"/>
                </a:lnTo>
                <a:lnTo>
                  <a:pt x="55" y="89"/>
                </a:lnTo>
                <a:lnTo>
                  <a:pt x="55" y="92"/>
                </a:lnTo>
                <a:lnTo>
                  <a:pt x="55" y="95"/>
                </a:lnTo>
                <a:lnTo>
                  <a:pt x="55" y="100"/>
                </a:lnTo>
                <a:lnTo>
                  <a:pt x="55" y="103"/>
                </a:lnTo>
                <a:lnTo>
                  <a:pt x="55" y="106"/>
                </a:lnTo>
                <a:lnTo>
                  <a:pt x="55" y="109"/>
                </a:lnTo>
                <a:lnTo>
                  <a:pt x="53" y="112"/>
                </a:lnTo>
                <a:lnTo>
                  <a:pt x="53" y="115"/>
                </a:lnTo>
                <a:lnTo>
                  <a:pt x="53" y="118"/>
                </a:lnTo>
                <a:lnTo>
                  <a:pt x="53" y="120"/>
                </a:lnTo>
                <a:lnTo>
                  <a:pt x="53" y="123"/>
                </a:lnTo>
                <a:lnTo>
                  <a:pt x="53" y="126"/>
                </a:lnTo>
                <a:lnTo>
                  <a:pt x="53" y="126"/>
                </a:lnTo>
                <a:lnTo>
                  <a:pt x="53" y="129"/>
                </a:lnTo>
                <a:lnTo>
                  <a:pt x="50" y="132"/>
                </a:lnTo>
                <a:lnTo>
                  <a:pt x="50" y="135"/>
                </a:lnTo>
                <a:lnTo>
                  <a:pt x="50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6"/>
                </a:lnTo>
                <a:lnTo>
                  <a:pt x="50" y="152"/>
                </a:lnTo>
                <a:lnTo>
                  <a:pt x="47" y="155"/>
                </a:lnTo>
                <a:lnTo>
                  <a:pt x="47" y="158"/>
                </a:lnTo>
                <a:lnTo>
                  <a:pt x="47" y="161"/>
                </a:lnTo>
                <a:lnTo>
                  <a:pt x="47" y="164"/>
                </a:lnTo>
                <a:lnTo>
                  <a:pt x="47" y="169"/>
                </a:lnTo>
                <a:lnTo>
                  <a:pt x="47" y="172"/>
                </a:lnTo>
                <a:lnTo>
                  <a:pt x="47" y="175"/>
                </a:lnTo>
                <a:lnTo>
                  <a:pt x="44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6" name="Freeform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/>
        </xdr:nvSpPr>
        <xdr:spPr>
          <a:xfrm>
            <a:off x="9941" y="9840"/>
            <a:ext cx="76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76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6" h="178">
                <a:moveTo>
                  <a:pt x="0" y="178"/>
                </a:moveTo>
                <a:lnTo>
                  <a:pt x="29" y="0"/>
                </a:lnTo>
                <a:lnTo>
                  <a:pt x="76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7" name="Freeform 186">
            <a:extLst>
              <a:ext uri="{FF2B5EF4-FFF2-40B4-BE49-F238E27FC236}">
                <a16:creationId xmlns:a16="http://schemas.microsoft.com/office/drawing/2014/main" id="{00000000-0008-0000-0100-0000BB000000}"/>
              </a:ext>
            </a:extLst>
          </xdr:cNvPr>
          <xdr:cNvSpPr/>
        </xdr:nvSpPr>
        <xdr:spPr>
          <a:xfrm>
            <a:off x="10023" y="9840"/>
            <a:ext cx="135" cy="178"/>
          </a:xfrm>
          <a:custGeom>
            <a:avLst/>
            <a:gdLst/>
            <a:ahLst/>
            <a:cxnLst>
              <a:cxn ang="0">
                <a:pos x="12" y="178"/>
              </a:cxn>
              <a:cxn ang="0">
                <a:pos x="0" y="0"/>
              </a:cxn>
              <a:cxn ang="0">
                <a:pos x="50" y="0"/>
              </a:cxn>
              <a:cxn ang="0">
                <a:pos x="50" y="2"/>
              </a:cxn>
              <a:cxn ang="0">
                <a:pos x="50" y="5"/>
              </a:cxn>
              <a:cxn ang="0">
                <a:pos x="50" y="8"/>
              </a:cxn>
              <a:cxn ang="0">
                <a:pos x="50" y="11"/>
              </a:cxn>
              <a:cxn ang="0">
                <a:pos x="47" y="14"/>
              </a:cxn>
              <a:cxn ang="0">
                <a:pos x="47" y="17"/>
              </a:cxn>
              <a:cxn ang="0">
                <a:pos x="47" y="20"/>
              </a:cxn>
              <a:cxn ang="0">
                <a:pos x="47" y="20"/>
              </a:cxn>
              <a:cxn ang="0">
                <a:pos x="47" y="51"/>
              </a:cxn>
              <a:cxn ang="0">
                <a:pos x="47" y="57"/>
              </a:cxn>
              <a:cxn ang="0">
                <a:pos x="47" y="60"/>
              </a:cxn>
              <a:cxn ang="0">
                <a:pos x="47" y="63"/>
              </a:cxn>
              <a:cxn ang="0">
                <a:pos x="47" y="66"/>
              </a:cxn>
              <a:cxn ang="0">
                <a:pos x="47" y="72"/>
              </a:cxn>
              <a:cxn ang="0">
                <a:pos x="47" y="74"/>
              </a:cxn>
              <a:cxn ang="0">
                <a:pos x="47" y="80"/>
              </a:cxn>
              <a:cxn ang="0">
                <a:pos x="47" y="83"/>
              </a:cxn>
              <a:cxn ang="0">
                <a:pos x="47" y="86"/>
              </a:cxn>
              <a:cxn ang="0">
                <a:pos x="47" y="92"/>
              </a:cxn>
              <a:cxn ang="0">
                <a:pos x="47" y="95"/>
              </a:cxn>
              <a:cxn ang="0">
                <a:pos x="47" y="100"/>
              </a:cxn>
              <a:cxn ang="0">
                <a:pos x="47" y="103"/>
              </a:cxn>
              <a:cxn ang="0">
                <a:pos x="47" y="109"/>
              </a:cxn>
              <a:cxn ang="0">
                <a:pos x="47" y="112"/>
              </a:cxn>
              <a:cxn ang="0">
                <a:pos x="47" y="115"/>
              </a:cxn>
              <a:cxn ang="0">
                <a:pos x="47" y="115"/>
              </a:cxn>
              <a:cxn ang="0">
                <a:pos x="50" y="109"/>
              </a:cxn>
              <a:cxn ang="0">
                <a:pos x="50" y="103"/>
              </a:cxn>
              <a:cxn ang="0">
                <a:pos x="53" y="97"/>
              </a:cxn>
              <a:cxn ang="0">
                <a:pos x="53" y="92"/>
              </a:cxn>
              <a:cxn ang="0">
                <a:pos x="56" y="86"/>
              </a:cxn>
              <a:cxn ang="0">
                <a:pos x="56" y="83"/>
              </a:cxn>
              <a:cxn ang="0">
                <a:pos x="59" y="77"/>
              </a:cxn>
              <a:cxn ang="0">
                <a:pos x="59" y="74"/>
              </a:cxn>
              <a:cxn ang="0">
                <a:pos x="62" y="69"/>
              </a:cxn>
              <a:cxn ang="0">
                <a:pos x="62" y="66"/>
              </a:cxn>
              <a:cxn ang="0">
                <a:pos x="65" y="60"/>
              </a:cxn>
              <a:cxn ang="0">
                <a:pos x="65" y="57"/>
              </a:cxn>
              <a:cxn ang="0">
                <a:pos x="65" y="54"/>
              </a:cxn>
              <a:cxn ang="0">
                <a:pos x="68" y="51"/>
              </a:cxn>
              <a:cxn ang="0">
                <a:pos x="68" y="46"/>
              </a:cxn>
              <a:cxn ang="0">
                <a:pos x="68" y="43"/>
              </a:cxn>
              <a:cxn ang="0">
                <a:pos x="71" y="40"/>
              </a:cxn>
              <a:cxn ang="0">
                <a:pos x="71" y="34"/>
              </a:cxn>
              <a:cxn ang="0">
                <a:pos x="74" y="31"/>
              </a:cxn>
              <a:cxn ang="0">
                <a:pos x="74" y="25"/>
              </a:cxn>
              <a:cxn ang="0">
                <a:pos x="77" y="20"/>
              </a:cxn>
              <a:cxn ang="0">
                <a:pos x="80" y="14"/>
              </a:cxn>
              <a:cxn ang="0">
                <a:pos x="80" y="5"/>
              </a:cxn>
              <a:cxn ang="0">
                <a:pos x="83" y="0"/>
              </a:cxn>
              <a:cxn ang="0">
                <a:pos x="135" y="0"/>
              </a:cxn>
              <a:cxn ang="0">
                <a:pos x="59" y="178"/>
              </a:cxn>
              <a:cxn ang="0">
                <a:pos x="12" y="178"/>
              </a:cxn>
            </a:cxnLst>
            <a:rect l="0" t="0" r="r" b="b"/>
            <a:pathLst>
              <a:path w="135" h="178">
                <a:moveTo>
                  <a:pt x="12" y="178"/>
                </a:moveTo>
                <a:lnTo>
                  <a:pt x="0" y="0"/>
                </a:lnTo>
                <a:lnTo>
                  <a:pt x="50" y="0"/>
                </a:lnTo>
                <a:lnTo>
                  <a:pt x="50" y="2"/>
                </a:lnTo>
                <a:lnTo>
                  <a:pt x="50" y="5"/>
                </a:lnTo>
                <a:lnTo>
                  <a:pt x="50" y="8"/>
                </a:lnTo>
                <a:lnTo>
                  <a:pt x="50" y="11"/>
                </a:lnTo>
                <a:lnTo>
                  <a:pt x="47" y="14"/>
                </a:lnTo>
                <a:lnTo>
                  <a:pt x="47" y="17"/>
                </a:lnTo>
                <a:lnTo>
                  <a:pt x="47" y="20"/>
                </a:lnTo>
                <a:lnTo>
                  <a:pt x="47" y="20"/>
                </a:lnTo>
                <a:lnTo>
                  <a:pt x="47" y="51"/>
                </a:lnTo>
                <a:lnTo>
                  <a:pt x="47" y="57"/>
                </a:lnTo>
                <a:lnTo>
                  <a:pt x="47" y="60"/>
                </a:lnTo>
                <a:lnTo>
                  <a:pt x="47" y="63"/>
                </a:lnTo>
                <a:lnTo>
                  <a:pt x="47" y="66"/>
                </a:lnTo>
                <a:lnTo>
                  <a:pt x="47" y="72"/>
                </a:lnTo>
                <a:lnTo>
                  <a:pt x="47" y="74"/>
                </a:lnTo>
                <a:lnTo>
                  <a:pt x="47" y="80"/>
                </a:lnTo>
                <a:lnTo>
                  <a:pt x="47" y="83"/>
                </a:lnTo>
                <a:lnTo>
                  <a:pt x="47" y="86"/>
                </a:lnTo>
                <a:lnTo>
                  <a:pt x="47" y="92"/>
                </a:lnTo>
                <a:lnTo>
                  <a:pt x="47" y="95"/>
                </a:lnTo>
                <a:lnTo>
                  <a:pt x="47" y="100"/>
                </a:lnTo>
                <a:lnTo>
                  <a:pt x="47" y="103"/>
                </a:lnTo>
                <a:lnTo>
                  <a:pt x="47" y="109"/>
                </a:lnTo>
                <a:lnTo>
                  <a:pt x="47" y="112"/>
                </a:lnTo>
                <a:lnTo>
                  <a:pt x="47" y="115"/>
                </a:lnTo>
                <a:lnTo>
                  <a:pt x="47" y="115"/>
                </a:lnTo>
                <a:lnTo>
                  <a:pt x="50" y="109"/>
                </a:lnTo>
                <a:lnTo>
                  <a:pt x="50" y="103"/>
                </a:lnTo>
                <a:lnTo>
                  <a:pt x="53" y="97"/>
                </a:lnTo>
                <a:lnTo>
                  <a:pt x="53" y="92"/>
                </a:lnTo>
                <a:lnTo>
                  <a:pt x="56" y="86"/>
                </a:lnTo>
                <a:lnTo>
                  <a:pt x="56" y="83"/>
                </a:lnTo>
                <a:lnTo>
                  <a:pt x="59" y="77"/>
                </a:lnTo>
                <a:lnTo>
                  <a:pt x="59" y="74"/>
                </a:lnTo>
                <a:lnTo>
                  <a:pt x="62" y="69"/>
                </a:lnTo>
                <a:lnTo>
                  <a:pt x="62" y="66"/>
                </a:lnTo>
                <a:lnTo>
                  <a:pt x="65" y="60"/>
                </a:lnTo>
                <a:lnTo>
                  <a:pt x="65" y="57"/>
                </a:lnTo>
                <a:lnTo>
                  <a:pt x="65" y="54"/>
                </a:lnTo>
                <a:lnTo>
                  <a:pt x="68" y="51"/>
                </a:lnTo>
                <a:lnTo>
                  <a:pt x="68" y="46"/>
                </a:lnTo>
                <a:lnTo>
                  <a:pt x="68" y="43"/>
                </a:lnTo>
                <a:lnTo>
                  <a:pt x="71" y="40"/>
                </a:lnTo>
                <a:lnTo>
                  <a:pt x="71" y="34"/>
                </a:lnTo>
                <a:lnTo>
                  <a:pt x="74" y="31"/>
                </a:lnTo>
                <a:lnTo>
                  <a:pt x="74" y="25"/>
                </a:lnTo>
                <a:lnTo>
                  <a:pt x="77" y="20"/>
                </a:lnTo>
                <a:lnTo>
                  <a:pt x="80" y="14"/>
                </a:lnTo>
                <a:lnTo>
                  <a:pt x="80" y="5"/>
                </a:lnTo>
                <a:lnTo>
                  <a:pt x="83" y="0"/>
                </a:lnTo>
                <a:lnTo>
                  <a:pt x="135" y="0"/>
                </a:lnTo>
                <a:lnTo>
                  <a:pt x="59" y="178"/>
                </a:lnTo>
                <a:lnTo>
                  <a:pt x="12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8" name="Freeform 187">
            <a:extLst>
              <a:ext uri="{FF2B5EF4-FFF2-40B4-BE49-F238E27FC236}">
                <a16:creationId xmlns:a16="http://schemas.microsoft.com/office/drawing/2014/main" id="{00000000-0008-0000-0100-0000BC000000}"/>
              </a:ext>
            </a:extLst>
          </xdr:cNvPr>
          <xdr:cNvSpPr/>
        </xdr:nvSpPr>
        <xdr:spPr>
          <a:xfrm>
            <a:off x="10138" y="9840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0" y="66"/>
              </a:cxn>
              <a:cxn ang="0">
                <a:pos x="91" y="109"/>
              </a:cxn>
              <a:cxn ang="0">
                <a:pos x="56" y="109"/>
              </a:cxn>
              <a:cxn ang="0">
                <a:pos x="53" y="135"/>
              </a:cxn>
              <a:cxn ang="0">
                <a:pos x="91" y="135"/>
              </a:cxn>
              <a:cxn ang="0">
                <a:pos x="85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0" y="66"/>
                </a:lnTo>
                <a:lnTo>
                  <a:pt x="91" y="109"/>
                </a:lnTo>
                <a:lnTo>
                  <a:pt x="56" y="109"/>
                </a:lnTo>
                <a:lnTo>
                  <a:pt x="53" y="135"/>
                </a:lnTo>
                <a:lnTo>
                  <a:pt x="91" y="135"/>
                </a:lnTo>
                <a:lnTo>
                  <a:pt x="85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9" name="Freeform 188">
            <a:extLst>
              <a:ext uri="{FF2B5EF4-FFF2-40B4-BE49-F238E27FC236}">
                <a16:creationId xmlns:a16="http://schemas.microsoft.com/office/drawing/2014/main" id="{00000000-0008-0000-0100-0000BD000000}"/>
              </a:ext>
            </a:extLst>
          </xdr:cNvPr>
          <xdr:cNvSpPr>
            <a:spLocks noEditPoints="1"/>
          </xdr:cNvSpPr>
        </xdr:nvSpPr>
        <xdr:spPr>
          <a:xfrm>
            <a:off x="10244" y="9840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85" y="0"/>
              </a:cxn>
              <a:cxn ang="0">
                <a:pos x="97" y="0"/>
              </a:cxn>
              <a:cxn ang="0">
                <a:pos x="109" y="2"/>
              </a:cxn>
              <a:cxn ang="0">
                <a:pos x="118" y="8"/>
              </a:cxn>
              <a:cxn ang="0">
                <a:pos x="123" y="14"/>
              </a:cxn>
              <a:cxn ang="0">
                <a:pos x="129" y="20"/>
              </a:cxn>
              <a:cxn ang="0">
                <a:pos x="132" y="28"/>
              </a:cxn>
              <a:cxn ang="0">
                <a:pos x="135" y="40"/>
              </a:cxn>
              <a:cxn ang="0">
                <a:pos x="135" y="48"/>
              </a:cxn>
              <a:cxn ang="0">
                <a:pos x="135" y="54"/>
              </a:cxn>
              <a:cxn ang="0">
                <a:pos x="135" y="60"/>
              </a:cxn>
              <a:cxn ang="0">
                <a:pos x="132" y="66"/>
              </a:cxn>
              <a:cxn ang="0">
                <a:pos x="129" y="72"/>
              </a:cxn>
              <a:cxn ang="0">
                <a:pos x="129" y="77"/>
              </a:cxn>
              <a:cxn ang="0">
                <a:pos x="126" y="83"/>
              </a:cxn>
              <a:cxn ang="0">
                <a:pos x="120" y="89"/>
              </a:cxn>
              <a:cxn ang="0">
                <a:pos x="118" y="92"/>
              </a:cxn>
              <a:cxn ang="0">
                <a:pos x="115" y="97"/>
              </a:cxn>
              <a:cxn ang="0">
                <a:pos x="109" y="100"/>
              </a:cxn>
              <a:cxn ang="0">
                <a:pos x="103" y="103"/>
              </a:cxn>
              <a:cxn ang="0">
                <a:pos x="126" y="178"/>
              </a:cxn>
              <a:cxn ang="0">
                <a:pos x="59" y="103"/>
              </a:cxn>
              <a:cxn ang="0">
                <a:pos x="0" y="178"/>
              </a:cxn>
              <a:cxn ang="0">
                <a:pos x="65" y="83"/>
              </a:cxn>
              <a:cxn ang="0">
                <a:pos x="70" y="80"/>
              </a:cxn>
              <a:cxn ang="0">
                <a:pos x="76" y="80"/>
              </a:cxn>
              <a:cxn ang="0">
                <a:pos x="79" y="77"/>
              </a:cxn>
              <a:cxn ang="0">
                <a:pos x="82" y="72"/>
              </a:cxn>
              <a:cxn ang="0">
                <a:pos x="85" y="69"/>
              </a:cxn>
              <a:cxn ang="0">
                <a:pos x="85" y="63"/>
              </a:cxn>
              <a:cxn ang="0">
                <a:pos x="88" y="57"/>
              </a:cxn>
              <a:cxn ang="0">
                <a:pos x="88" y="48"/>
              </a:cxn>
              <a:cxn ang="0">
                <a:pos x="85" y="46"/>
              </a:cxn>
              <a:cxn ang="0">
                <a:pos x="79" y="40"/>
              </a:cxn>
              <a:cxn ang="0">
                <a:pos x="73" y="37"/>
              </a:cxn>
              <a:cxn ang="0">
                <a:pos x="62" y="83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79" y="0"/>
                </a:lnTo>
                <a:lnTo>
                  <a:pt x="85" y="0"/>
                </a:lnTo>
                <a:lnTo>
                  <a:pt x="91" y="0"/>
                </a:lnTo>
                <a:lnTo>
                  <a:pt x="97" y="0"/>
                </a:lnTo>
                <a:lnTo>
                  <a:pt x="103" y="2"/>
                </a:lnTo>
                <a:lnTo>
                  <a:pt x="109" y="2"/>
                </a:lnTo>
                <a:lnTo>
                  <a:pt x="112" y="5"/>
                </a:lnTo>
                <a:lnTo>
                  <a:pt x="118" y="8"/>
                </a:lnTo>
                <a:lnTo>
                  <a:pt x="120" y="11"/>
                </a:lnTo>
                <a:lnTo>
                  <a:pt x="123" y="14"/>
                </a:lnTo>
                <a:lnTo>
                  <a:pt x="126" y="17"/>
                </a:lnTo>
                <a:lnTo>
                  <a:pt x="129" y="20"/>
                </a:lnTo>
                <a:lnTo>
                  <a:pt x="132" y="25"/>
                </a:lnTo>
                <a:lnTo>
                  <a:pt x="132" y="28"/>
                </a:lnTo>
                <a:lnTo>
                  <a:pt x="135" y="34"/>
                </a:lnTo>
                <a:lnTo>
                  <a:pt x="135" y="40"/>
                </a:lnTo>
                <a:lnTo>
                  <a:pt x="135" y="46"/>
                </a:lnTo>
                <a:lnTo>
                  <a:pt x="135" y="48"/>
                </a:lnTo>
                <a:lnTo>
                  <a:pt x="135" y="51"/>
                </a:lnTo>
                <a:lnTo>
                  <a:pt x="135" y="54"/>
                </a:lnTo>
                <a:lnTo>
                  <a:pt x="135" y="57"/>
                </a:lnTo>
                <a:lnTo>
                  <a:pt x="135" y="60"/>
                </a:lnTo>
                <a:lnTo>
                  <a:pt x="132" y="63"/>
                </a:lnTo>
                <a:lnTo>
                  <a:pt x="132" y="66"/>
                </a:lnTo>
                <a:lnTo>
                  <a:pt x="132" y="69"/>
                </a:lnTo>
                <a:lnTo>
                  <a:pt x="129" y="72"/>
                </a:lnTo>
                <a:lnTo>
                  <a:pt x="129" y="74"/>
                </a:lnTo>
                <a:lnTo>
                  <a:pt x="129" y="77"/>
                </a:lnTo>
                <a:lnTo>
                  <a:pt x="126" y="80"/>
                </a:lnTo>
                <a:lnTo>
                  <a:pt x="126" y="83"/>
                </a:lnTo>
                <a:lnTo>
                  <a:pt x="123" y="86"/>
                </a:lnTo>
                <a:lnTo>
                  <a:pt x="120" y="89"/>
                </a:lnTo>
                <a:lnTo>
                  <a:pt x="120" y="89"/>
                </a:lnTo>
                <a:lnTo>
                  <a:pt x="118" y="92"/>
                </a:lnTo>
                <a:lnTo>
                  <a:pt x="115" y="95"/>
                </a:lnTo>
                <a:lnTo>
                  <a:pt x="115" y="97"/>
                </a:lnTo>
                <a:lnTo>
                  <a:pt x="112" y="97"/>
                </a:lnTo>
                <a:lnTo>
                  <a:pt x="109" y="100"/>
                </a:lnTo>
                <a:lnTo>
                  <a:pt x="106" y="103"/>
                </a:lnTo>
                <a:lnTo>
                  <a:pt x="103" y="103"/>
                </a:lnTo>
                <a:lnTo>
                  <a:pt x="100" y="103"/>
                </a:lnTo>
                <a:lnTo>
                  <a:pt x="126" y="178"/>
                </a:lnTo>
                <a:lnTo>
                  <a:pt x="73" y="178"/>
                </a:lnTo>
                <a:lnTo>
                  <a:pt x="59" y="103"/>
                </a:lnTo>
                <a:lnTo>
                  <a:pt x="47" y="178"/>
                </a:lnTo>
                <a:lnTo>
                  <a:pt x="0" y="178"/>
                </a:lnTo>
                <a:close/>
                <a:moveTo>
                  <a:pt x="62" y="83"/>
                </a:moveTo>
                <a:lnTo>
                  <a:pt x="65" y="83"/>
                </a:lnTo>
                <a:lnTo>
                  <a:pt x="67" y="83"/>
                </a:lnTo>
                <a:lnTo>
                  <a:pt x="70" y="80"/>
                </a:lnTo>
                <a:lnTo>
                  <a:pt x="73" y="80"/>
                </a:lnTo>
                <a:lnTo>
                  <a:pt x="76" y="80"/>
                </a:lnTo>
                <a:lnTo>
                  <a:pt x="76" y="77"/>
                </a:lnTo>
                <a:lnTo>
                  <a:pt x="79" y="77"/>
                </a:lnTo>
                <a:lnTo>
                  <a:pt x="79" y="74"/>
                </a:lnTo>
                <a:lnTo>
                  <a:pt x="82" y="72"/>
                </a:lnTo>
                <a:lnTo>
                  <a:pt x="85" y="72"/>
                </a:lnTo>
                <a:lnTo>
                  <a:pt x="85" y="69"/>
                </a:lnTo>
                <a:lnTo>
                  <a:pt x="85" y="66"/>
                </a:lnTo>
                <a:lnTo>
                  <a:pt x="85" y="63"/>
                </a:lnTo>
                <a:lnTo>
                  <a:pt x="88" y="60"/>
                </a:lnTo>
                <a:lnTo>
                  <a:pt x="88" y="57"/>
                </a:lnTo>
                <a:lnTo>
                  <a:pt x="88" y="54"/>
                </a:lnTo>
                <a:lnTo>
                  <a:pt x="88" y="48"/>
                </a:lnTo>
                <a:lnTo>
                  <a:pt x="85" y="46"/>
                </a:lnTo>
                <a:lnTo>
                  <a:pt x="85" y="46"/>
                </a:lnTo>
                <a:lnTo>
                  <a:pt x="82" y="43"/>
                </a:lnTo>
                <a:lnTo>
                  <a:pt x="79" y="40"/>
                </a:lnTo>
                <a:lnTo>
                  <a:pt x="76" y="40"/>
                </a:lnTo>
                <a:lnTo>
                  <a:pt x="73" y="37"/>
                </a:lnTo>
                <a:lnTo>
                  <a:pt x="67" y="37"/>
                </a:lnTo>
                <a:lnTo>
                  <a:pt x="62" y="8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0" name="Freeform 189">
            <a:extLst>
              <a:ext uri="{FF2B5EF4-FFF2-40B4-BE49-F238E27FC236}">
                <a16:creationId xmlns:a16="http://schemas.microsoft.com/office/drawing/2014/main" id="{00000000-0008-0000-0100-0000BE000000}"/>
              </a:ext>
            </a:extLst>
          </xdr:cNvPr>
          <xdr:cNvSpPr/>
        </xdr:nvSpPr>
        <xdr:spPr>
          <a:xfrm>
            <a:off x="10373" y="9834"/>
            <a:ext cx="112" cy="187"/>
          </a:xfrm>
          <a:custGeom>
            <a:avLst/>
            <a:gdLst/>
            <a:ahLst/>
            <a:cxnLst>
              <a:cxn ang="0">
                <a:pos x="12" y="129"/>
              </a:cxn>
              <a:cxn ang="0">
                <a:pos x="15" y="135"/>
              </a:cxn>
              <a:cxn ang="0">
                <a:pos x="21" y="138"/>
              </a:cxn>
              <a:cxn ang="0">
                <a:pos x="27" y="141"/>
              </a:cxn>
              <a:cxn ang="0">
                <a:pos x="33" y="144"/>
              </a:cxn>
              <a:cxn ang="0">
                <a:pos x="39" y="144"/>
              </a:cxn>
              <a:cxn ang="0">
                <a:pos x="47" y="141"/>
              </a:cxn>
              <a:cxn ang="0">
                <a:pos x="50" y="135"/>
              </a:cxn>
              <a:cxn ang="0">
                <a:pos x="50" y="129"/>
              </a:cxn>
              <a:cxn ang="0">
                <a:pos x="47" y="121"/>
              </a:cxn>
              <a:cxn ang="0">
                <a:pos x="41" y="115"/>
              </a:cxn>
              <a:cxn ang="0">
                <a:pos x="33" y="106"/>
              </a:cxn>
              <a:cxn ang="0">
                <a:pos x="27" y="98"/>
              </a:cxn>
              <a:cxn ang="0">
                <a:pos x="21" y="92"/>
              </a:cxn>
              <a:cxn ang="0">
                <a:pos x="18" y="86"/>
              </a:cxn>
              <a:cxn ang="0">
                <a:pos x="15" y="78"/>
              </a:cxn>
              <a:cxn ang="0">
                <a:pos x="15" y="72"/>
              </a:cxn>
              <a:cxn ang="0">
                <a:pos x="18" y="63"/>
              </a:cxn>
              <a:cxn ang="0">
                <a:pos x="18" y="54"/>
              </a:cxn>
              <a:cxn ang="0">
                <a:pos x="24" y="43"/>
              </a:cxn>
              <a:cxn ang="0">
                <a:pos x="27" y="34"/>
              </a:cxn>
              <a:cxn ang="0">
                <a:pos x="33" y="26"/>
              </a:cxn>
              <a:cxn ang="0">
                <a:pos x="39" y="20"/>
              </a:cxn>
              <a:cxn ang="0">
                <a:pos x="44" y="14"/>
              </a:cxn>
              <a:cxn ang="0">
                <a:pos x="53" y="8"/>
              </a:cxn>
              <a:cxn ang="0">
                <a:pos x="62" y="6"/>
              </a:cxn>
              <a:cxn ang="0">
                <a:pos x="68" y="3"/>
              </a:cxn>
              <a:cxn ang="0">
                <a:pos x="77" y="0"/>
              </a:cxn>
              <a:cxn ang="0">
                <a:pos x="89" y="3"/>
              </a:cxn>
              <a:cxn ang="0">
                <a:pos x="100" y="6"/>
              </a:cxn>
              <a:cxn ang="0">
                <a:pos x="112" y="11"/>
              </a:cxn>
              <a:cxn ang="0">
                <a:pos x="97" y="57"/>
              </a:cxn>
              <a:cxn ang="0">
                <a:pos x="89" y="49"/>
              </a:cxn>
              <a:cxn ang="0">
                <a:pos x="80" y="46"/>
              </a:cxn>
              <a:cxn ang="0">
                <a:pos x="71" y="49"/>
              </a:cxn>
              <a:cxn ang="0">
                <a:pos x="68" y="52"/>
              </a:cxn>
              <a:cxn ang="0">
                <a:pos x="65" y="57"/>
              </a:cxn>
              <a:cxn ang="0">
                <a:pos x="65" y="60"/>
              </a:cxn>
              <a:cxn ang="0">
                <a:pos x="65" y="63"/>
              </a:cxn>
              <a:cxn ang="0">
                <a:pos x="68" y="66"/>
              </a:cxn>
              <a:cxn ang="0">
                <a:pos x="74" y="72"/>
              </a:cxn>
              <a:cxn ang="0">
                <a:pos x="77" y="75"/>
              </a:cxn>
              <a:cxn ang="0">
                <a:pos x="83" y="80"/>
              </a:cxn>
              <a:cxn ang="0">
                <a:pos x="86" y="86"/>
              </a:cxn>
              <a:cxn ang="0">
                <a:pos x="91" y="89"/>
              </a:cxn>
              <a:cxn ang="0">
                <a:pos x="94" y="95"/>
              </a:cxn>
              <a:cxn ang="0">
                <a:pos x="97" y="103"/>
              </a:cxn>
              <a:cxn ang="0">
                <a:pos x="100" y="112"/>
              </a:cxn>
              <a:cxn ang="0">
                <a:pos x="100" y="121"/>
              </a:cxn>
              <a:cxn ang="0">
                <a:pos x="97" y="135"/>
              </a:cxn>
              <a:cxn ang="0">
                <a:pos x="94" y="147"/>
              </a:cxn>
              <a:cxn ang="0">
                <a:pos x="86" y="158"/>
              </a:cxn>
              <a:cxn ang="0">
                <a:pos x="77" y="170"/>
              </a:cxn>
              <a:cxn ang="0">
                <a:pos x="65" y="178"/>
              </a:cxn>
              <a:cxn ang="0">
                <a:pos x="53" y="184"/>
              </a:cxn>
              <a:cxn ang="0">
                <a:pos x="41" y="187"/>
              </a:cxn>
              <a:cxn ang="0">
                <a:pos x="27" y="187"/>
              </a:cxn>
              <a:cxn ang="0">
                <a:pos x="15" y="184"/>
              </a:cxn>
              <a:cxn ang="0">
                <a:pos x="3" y="181"/>
              </a:cxn>
            </a:cxnLst>
            <a:rect l="0" t="0" r="r" b="b"/>
            <a:pathLst>
              <a:path w="112" h="187">
                <a:moveTo>
                  <a:pt x="9" y="124"/>
                </a:moveTo>
                <a:lnTo>
                  <a:pt x="9" y="126"/>
                </a:lnTo>
                <a:lnTo>
                  <a:pt x="12" y="129"/>
                </a:lnTo>
                <a:lnTo>
                  <a:pt x="12" y="129"/>
                </a:lnTo>
                <a:lnTo>
                  <a:pt x="15" y="132"/>
                </a:lnTo>
                <a:lnTo>
                  <a:pt x="15" y="135"/>
                </a:lnTo>
                <a:lnTo>
                  <a:pt x="18" y="135"/>
                </a:lnTo>
                <a:lnTo>
                  <a:pt x="18" y="138"/>
                </a:lnTo>
                <a:lnTo>
                  <a:pt x="21" y="138"/>
                </a:lnTo>
                <a:lnTo>
                  <a:pt x="21" y="141"/>
                </a:lnTo>
                <a:lnTo>
                  <a:pt x="24" y="141"/>
                </a:lnTo>
                <a:lnTo>
                  <a:pt x="27" y="141"/>
                </a:lnTo>
                <a:lnTo>
                  <a:pt x="27" y="144"/>
                </a:lnTo>
                <a:lnTo>
                  <a:pt x="30" y="144"/>
                </a:lnTo>
                <a:lnTo>
                  <a:pt x="33" y="144"/>
                </a:lnTo>
                <a:lnTo>
                  <a:pt x="33" y="144"/>
                </a:lnTo>
                <a:lnTo>
                  <a:pt x="36" y="144"/>
                </a:lnTo>
                <a:lnTo>
                  <a:pt x="39" y="144"/>
                </a:lnTo>
                <a:lnTo>
                  <a:pt x="41" y="144"/>
                </a:lnTo>
                <a:lnTo>
                  <a:pt x="44" y="144"/>
                </a:lnTo>
                <a:lnTo>
                  <a:pt x="47" y="141"/>
                </a:lnTo>
                <a:lnTo>
                  <a:pt x="47" y="138"/>
                </a:lnTo>
                <a:lnTo>
                  <a:pt x="50" y="138"/>
                </a:lnTo>
                <a:lnTo>
                  <a:pt x="50" y="135"/>
                </a:lnTo>
                <a:lnTo>
                  <a:pt x="53" y="132"/>
                </a:lnTo>
                <a:lnTo>
                  <a:pt x="53" y="129"/>
                </a:lnTo>
                <a:lnTo>
                  <a:pt x="50" y="129"/>
                </a:lnTo>
                <a:lnTo>
                  <a:pt x="50" y="126"/>
                </a:lnTo>
                <a:lnTo>
                  <a:pt x="50" y="124"/>
                </a:lnTo>
                <a:lnTo>
                  <a:pt x="47" y="121"/>
                </a:lnTo>
                <a:lnTo>
                  <a:pt x="44" y="121"/>
                </a:lnTo>
                <a:lnTo>
                  <a:pt x="44" y="118"/>
                </a:lnTo>
                <a:lnTo>
                  <a:pt x="41" y="115"/>
                </a:lnTo>
                <a:lnTo>
                  <a:pt x="39" y="112"/>
                </a:lnTo>
                <a:lnTo>
                  <a:pt x="36" y="109"/>
                </a:lnTo>
                <a:lnTo>
                  <a:pt x="33" y="106"/>
                </a:lnTo>
                <a:lnTo>
                  <a:pt x="30" y="103"/>
                </a:lnTo>
                <a:lnTo>
                  <a:pt x="27" y="101"/>
                </a:lnTo>
                <a:lnTo>
                  <a:pt x="27" y="98"/>
                </a:lnTo>
                <a:lnTo>
                  <a:pt x="24" y="98"/>
                </a:lnTo>
                <a:lnTo>
                  <a:pt x="24" y="95"/>
                </a:lnTo>
                <a:lnTo>
                  <a:pt x="21" y="92"/>
                </a:lnTo>
                <a:lnTo>
                  <a:pt x="21" y="92"/>
                </a:lnTo>
                <a:lnTo>
                  <a:pt x="18" y="89"/>
                </a:lnTo>
                <a:lnTo>
                  <a:pt x="18" y="86"/>
                </a:lnTo>
                <a:lnTo>
                  <a:pt x="18" y="83"/>
                </a:lnTo>
                <a:lnTo>
                  <a:pt x="18" y="80"/>
                </a:lnTo>
                <a:lnTo>
                  <a:pt x="15" y="78"/>
                </a:lnTo>
                <a:lnTo>
                  <a:pt x="15" y="72"/>
                </a:lnTo>
                <a:lnTo>
                  <a:pt x="15" y="72"/>
                </a:lnTo>
                <a:lnTo>
                  <a:pt x="15" y="72"/>
                </a:lnTo>
                <a:lnTo>
                  <a:pt x="15" y="69"/>
                </a:lnTo>
                <a:lnTo>
                  <a:pt x="15" y="69"/>
                </a:lnTo>
                <a:lnTo>
                  <a:pt x="18" y="63"/>
                </a:lnTo>
                <a:lnTo>
                  <a:pt x="18" y="60"/>
                </a:lnTo>
                <a:lnTo>
                  <a:pt x="18" y="57"/>
                </a:lnTo>
                <a:lnTo>
                  <a:pt x="18" y="54"/>
                </a:lnTo>
                <a:lnTo>
                  <a:pt x="21" y="52"/>
                </a:lnTo>
                <a:lnTo>
                  <a:pt x="21" y="46"/>
                </a:lnTo>
                <a:lnTo>
                  <a:pt x="24" y="43"/>
                </a:lnTo>
                <a:lnTo>
                  <a:pt x="24" y="40"/>
                </a:lnTo>
                <a:lnTo>
                  <a:pt x="24" y="37"/>
                </a:lnTo>
                <a:lnTo>
                  <a:pt x="27" y="34"/>
                </a:lnTo>
                <a:lnTo>
                  <a:pt x="27" y="31"/>
                </a:lnTo>
                <a:lnTo>
                  <a:pt x="30" y="29"/>
                </a:lnTo>
                <a:lnTo>
                  <a:pt x="33" y="26"/>
                </a:lnTo>
                <a:lnTo>
                  <a:pt x="33" y="26"/>
                </a:lnTo>
                <a:lnTo>
                  <a:pt x="36" y="23"/>
                </a:lnTo>
                <a:lnTo>
                  <a:pt x="39" y="20"/>
                </a:lnTo>
                <a:lnTo>
                  <a:pt x="41" y="17"/>
                </a:lnTo>
                <a:lnTo>
                  <a:pt x="41" y="14"/>
                </a:lnTo>
                <a:lnTo>
                  <a:pt x="44" y="14"/>
                </a:lnTo>
                <a:lnTo>
                  <a:pt x="47" y="11"/>
                </a:lnTo>
                <a:lnTo>
                  <a:pt x="50" y="11"/>
                </a:lnTo>
                <a:lnTo>
                  <a:pt x="53" y="8"/>
                </a:lnTo>
                <a:lnTo>
                  <a:pt x="56" y="8"/>
                </a:lnTo>
                <a:lnTo>
                  <a:pt x="59" y="6"/>
                </a:lnTo>
                <a:lnTo>
                  <a:pt x="62" y="6"/>
                </a:lnTo>
                <a:lnTo>
                  <a:pt x="62" y="6"/>
                </a:lnTo>
                <a:lnTo>
                  <a:pt x="65" y="3"/>
                </a:lnTo>
                <a:lnTo>
                  <a:pt x="68" y="3"/>
                </a:lnTo>
                <a:lnTo>
                  <a:pt x="71" y="3"/>
                </a:lnTo>
                <a:lnTo>
                  <a:pt x="74" y="3"/>
                </a:lnTo>
                <a:lnTo>
                  <a:pt x="77" y="0"/>
                </a:lnTo>
                <a:lnTo>
                  <a:pt x="80" y="0"/>
                </a:lnTo>
                <a:lnTo>
                  <a:pt x="83" y="3"/>
                </a:lnTo>
                <a:lnTo>
                  <a:pt x="89" y="3"/>
                </a:lnTo>
                <a:lnTo>
                  <a:pt x="91" y="3"/>
                </a:lnTo>
                <a:lnTo>
                  <a:pt x="97" y="3"/>
                </a:lnTo>
                <a:lnTo>
                  <a:pt x="100" y="6"/>
                </a:lnTo>
                <a:lnTo>
                  <a:pt x="103" y="6"/>
                </a:lnTo>
                <a:lnTo>
                  <a:pt x="109" y="8"/>
                </a:lnTo>
                <a:lnTo>
                  <a:pt x="112" y="11"/>
                </a:lnTo>
                <a:lnTo>
                  <a:pt x="103" y="66"/>
                </a:lnTo>
                <a:lnTo>
                  <a:pt x="100" y="60"/>
                </a:lnTo>
                <a:lnTo>
                  <a:pt x="97" y="57"/>
                </a:lnTo>
                <a:lnTo>
                  <a:pt x="94" y="54"/>
                </a:lnTo>
                <a:lnTo>
                  <a:pt x="91" y="52"/>
                </a:lnTo>
                <a:lnTo>
                  <a:pt x="89" y="49"/>
                </a:lnTo>
                <a:lnTo>
                  <a:pt x="86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9"/>
                </a:lnTo>
                <a:lnTo>
                  <a:pt x="71" y="49"/>
                </a:lnTo>
                <a:lnTo>
                  <a:pt x="71" y="49"/>
                </a:lnTo>
                <a:lnTo>
                  <a:pt x="68" y="52"/>
                </a:lnTo>
                <a:lnTo>
                  <a:pt x="68" y="52"/>
                </a:lnTo>
                <a:lnTo>
                  <a:pt x="65" y="54"/>
                </a:lnTo>
                <a:lnTo>
                  <a:pt x="65" y="54"/>
                </a:lnTo>
                <a:lnTo>
                  <a:pt x="65" y="57"/>
                </a:lnTo>
                <a:lnTo>
                  <a:pt x="65" y="57"/>
                </a:lnTo>
                <a:lnTo>
                  <a:pt x="65" y="60"/>
                </a:lnTo>
                <a:lnTo>
                  <a:pt x="65" y="60"/>
                </a:lnTo>
                <a:lnTo>
                  <a:pt x="65" y="60"/>
                </a:lnTo>
                <a:lnTo>
                  <a:pt x="65" y="63"/>
                </a:lnTo>
                <a:lnTo>
                  <a:pt x="65" y="63"/>
                </a:lnTo>
                <a:lnTo>
                  <a:pt x="68" y="63"/>
                </a:lnTo>
                <a:lnTo>
                  <a:pt x="68" y="66"/>
                </a:lnTo>
                <a:lnTo>
                  <a:pt x="68" y="66"/>
                </a:lnTo>
                <a:lnTo>
                  <a:pt x="71" y="69"/>
                </a:lnTo>
                <a:lnTo>
                  <a:pt x="71" y="69"/>
                </a:lnTo>
                <a:lnTo>
                  <a:pt x="74" y="72"/>
                </a:lnTo>
                <a:lnTo>
                  <a:pt x="74" y="72"/>
                </a:lnTo>
                <a:lnTo>
                  <a:pt x="77" y="75"/>
                </a:lnTo>
                <a:lnTo>
                  <a:pt x="77" y="75"/>
                </a:lnTo>
                <a:lnTo>
                  <a:pt x="80" y="78"/>
                </a:lnTo>
                <a:lnTo>
                  <a:pt x="80" y="78"/>
                </a:lnTo>
                <a:lnTo>
                  <a:pt x="83" y="80"/>
                </a:lnTo>
                <a:lnTo>
                  <a:pt x="83" y="83"/>
                </a:lnTo>
                <a:lnTo>
                  <a:pt x="86" y="83"/>
                </a:lnTo>
                <a:lnTo>
                  <a:pt x="86" y="86"/>
                </a:lnTo>
                <a:lnTo>
                  <a:pt x="89" y="86"/>
                </a:lnTo>
                <a:lnTo>
                  <a:pt x="89" y="89"/>
                </a:lnTo>
                <a:lnTo>
                  <a:pt x="91" y="89"/>
                </a:lnTo>
                <a:lnTo>
                  <a:pt x="94" y="92"/>
                </a:lnTo>
                <a:lnTo>
                  <a:pt x="94" y="95"/>
                </a:lnTo>
                <a:lnTo>
                  <a:pt x="94" y="95"/>
                </a:lnTo>
                <a:lnTo>
                  <a:pt x="97" y="98"/>
                </a:lnTo>
                <a:lnTo>
                  <a:pt x="97" y="101"/>
                </a:lnTo>
                <a:lnTo>
                  <a:pt x="97" y="103"/>
                </a:lnTo>
                <a:lnTo>
                  <a:pt x="100" y="106"/>
                </a:lnTo>
                <a:lnTo>
                  <a:pt x="100" y="109"/>
                </a:lnTo>
                <a:lnTo>
                  <a:pt x="100" y="112"/>
                </a:lnTo>
                <a:lnTo>
                  <a:pt x="100" y="115"/>
                </a:lnTo>
                <a:lnTo>
                  <a:pt x="100" y="118"/>
                </a:lnTo>
                <a:lnTo>
                  <a:pt x="100" y="121"/>
                </a:lnTo>
                <a:lnTo>
                  <a:pt x="100" y="126"/>
                </a:lnTo>
                <a:lnTo>
                  <a:pt x="97" y="132"/>
                </a:lnTo>
                <a:lnTo>
                  <a:pt x="97" y="135"/>
                </a:lnTo>
                <a:lnTo>
                  <a:pt x="97" y="141"/>
                </a:lnTo>
                <a:lnTo>
                  <a:pt x="94" y="144"/>
                </a:lnTo>
                <a:lnTo>
                  <a:pt x="94" y="147"/>
                </a:lnTo>
                <a:lnTo>
                  <a:pt x="91" y="152"/>
                </a:lnTo>
                <a:lnTo>
                  <a:pt x="89" y="155"/>
                </a:lnTo>
                <a:lnTo>
                  <a:pt x="86" y="158"/>
                </a:lnTo>
                <a:lnTo>
                  <a:pt x="83" y="164"/>
                </a:lnTo>
                <a:lnTo>
                  <a:pt x="80" y="167"/>
                </a:lnTo>
                <a:lnTo>
                  <a:pt x="77" y="170"/>
                </a:lnTo>
                <a:lnTo>
                  <a:pt x="74" y="173"/>
                </a:lnTo>
                <a:lnTo>
                  <a:pt x="71" y="175"/>
                </a:lnTo>
                <a:lnTo>
                  <a:pt x="65" y="178"/>
                </a:lnTo>
                <a:lnTo>
                  <a:pt x="62" y="181"/>
                </a:lnTo>
                <a:lnTo>
                  <a:pt x="59" y="181"/>
                </a:lnTo>
                <a:lnTo>
                  <a:pt x="53" y="184"/>
                </a:lnTo>
                <a:lnTo>
                  <a:pt x="50" y="184"/>
                </a:lnTo>
                <a:lnTo>
                  <a:pt x="44" y="187"/>
                </a:lnTo>
                <a:lnTo>
                  <a:pt x="41" y="187"/>
                </a:lnTo>
                <a:lnTo>
                  <a:pt x="36" y="187"/>
                </a:lnTo>
                <a:lnTo>
                  <a:pt x="33" y="187"/>
                </a:lnTo>
                <a:lnTo>
                  <a:pt x="27" y="187"/>
                </a:lnTo>
                <a:lnTo>
                  <a:pt x="24" y="187"/>
                </a:lnTo>
                <a:lnTo>
                  <a:pt x="18" y="187"/>
                </a:lnTo>
                <a:lnTo>
                  <a:pt x="15" y="184"/>
                </a:lnTo>
                <a:lnTo>
                  <a:pt x="12" y="184"/>
                </a:lnTo>
                <a:lnTo>
                  <a:pt x="9" y="184"/>
                </a:lnTo>
                <a:lnTo>
                  <a:pt x="3" y="181"/>
                </a:lnTo>
                <a:lnTo>
                  <a:pt x="0" y="181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1" name="Freeform 190">
            <a:extLst>
              <a:ext uri="{FF2B5EF4-FFF2-40B4-BE49-F238E27FC236}">
                <a16:creationId xmlns:a16="http://schemas.microsoft.com/office/drawing/2014/main" id="{00000000-0008-0000-0100-0000BF000000}"/>
              </a:ext>
            </a:extLst>
          </xdr:cNvPr>
          <xdr:cNvSpPr/>
        </xdr:nvSpPr>
        <xdr:spPr>
          <a:xfrm>
            <a:off x="10479" y="9840"/>
            <a:ext cx="74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7" y="0"/>
              </a:cxn>
              <a:cxn ang="0">
                <a:pos x="74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4" h="178">
                <a:moveTo>
                  <a:pt x="0" y="178"/>
                </a:moveTo>
                <a:lnTo>
                  <a:pt x="27" y="0"/>
                </a:lnTo>
                <a:lnTo>
                  <a:pt x="74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2" name="Freeform 191">
            <a:extLst>
              <a:ext uri="{FF2B5EF4-FFF2-40B4-BE49-F238E27FC236}">
                <a16:creationId xmlns:a16="http://schemas.microsoft.com/office/drawing/2014/main" id="{00000000-0008-0000-0100-0000C0000000}"/>
              </a:ext>
            </a:extLst>
          </xdr:cNvPr>
          <xdr:cNvSpPr>
            <a:spLocks noEditPoints="1"/>
          </xdr:cNvSpPr>
        </xdr:nvSpPr>
        <xdr:spPr>
          <a:xfrm>
            <a:off x="10547" y="9840"/>
            <a:ext cx="135" cy="181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79" y="2"/>
              </a:cxn>
              <a:cxn ang="0">
                <a:pos x="88" y="5"/>
              </a:cxn>
              <a:cxn ang="0">
                <a:pos x="97" y="5"/>
              </a:cxn>
              <a:cxn ang="0">
                <a:pos x="106" y="11"/>
              </a:cxn>
              <a:cxn ang="0">
                <a:pos x="112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8" y="141"/>
              </a:cxn>
              <a:cxn ang="0">
                <a:pos x="109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8" y="178"/>
              </a:cxn>
              <a:cxn ang="0">
                <a:pos x="62" y="178"/>
              </a:cxn>
              <a:cxn ang="0">
                <a:pos x="53" y="178"/>
              </a:cxn>
              <a:cxn ang="0">
                <a:pos x="47" y="181"/>
              </a:cxn>
              <a:cxn ang="0">
                <a:pos x="0" y="181"/>
              </a:cxn>
              <a:cxn ang="0">
                <a:pos x="56" y="135"/>
              </a:cxn>
              <a:cxn ang="0">
                <a:pos x="62" y="135"/>
              </a:cxn>
              <a:cxn ang="0">
                <a:pos x="68" y="132"/>
              </a:cxn>
              <a:cxn ang="0">
                <a:pos x="73" y="126"/>
              </a:cxn>
              <a:cxn ang="0">
                <a:pos x="76" y="120"/>
              </a:cxn>
              <a:cxn ang="0">
                <a:pos x="79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3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6" y="0"/>
                </a:lnTo>
                <a:lnTo>
                  <a:pt x="68" y="0"/>
                </a:lnTo>
                <a:lnTo>
                  <a:pt x="70" y="0"/>
                </a:lnTo>
                <a:lnTo>
                  <a:pt x="76" y="2"/>
                </a:lnTo>
                <a:lnTo>
                  <a:pt x="79" y="2"/>
                </a:lnTo>
                <a:lnTo>
                  <a:pt x="85" y="2"/>
                </a:lnTo>
                <a:lnTo>
                  <a:pt x="88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9" y="14"/>
                </a:lnTo>
                <a:lnTo>
                  <a:pt x="112" y="17"/>
                </a:lnTo>
                <a:lnTo>
                  <a:pt x="118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8" y="141"/>
                </a:lnTo>
                <a:lnTo>
                  <a:pt x="112" y="146"/>
                </a:lnTo>
                <a:lnTo>
                  <a:pt x="109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8" y="178"/>
                </a:lnTo>
                <a:lnTo>
                  <a:pt x="65" y="178"/>
                </a:lnTo>
                <a:lnTo>
                  <a:pt x="62" y="178"/>
                </a:lnTo>
                <a:lnTo>
                  <a:pt x="59" y="178"/>
                </a:lnTo>
                <a:lnTo>
                  <a:pt x="53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3" y="135"/>
                </a:move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2"/>
                </a:lnTo>
                <a:lnTo>
                  <a:pt x="68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6" y="120"/>
                </a:lnTo>
                <a:lnTo>
                  <a:pt x="79" y="115"/>
                </a:lnTo>
                <a:lnTo>
                  <a:pt x="79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8" y="46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3" name="Freeform 192">
            <a:extLst>
              <a:ext uri="{FF2B5EF4-FFF2-40B4-BE49-F238E27FC236}">
                <a16:creationId xmlns:a16="http://schemas.microsoft.com/office/drawing/2014/main" id="{00000000-0008-0000-0100-0000C1000000}"/>
              </a:ext>
            </a:extLst>
          </xdr:cNvPr>
          <xdr:cNvSpPr>
            <a:spLocks noEditPoints="1"/>
          </xdr:cNvSpPr>
        </xdr:nvSpPr>
        <xdr:spPr>
          <a:xfrm>
            <a:off x="10670" y="9840"/>
            <a:ext cx="136" cy="178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127" y="5"/>
              </a:cxn>
              <a:cxn ang="0">
                <a:pos x="127" y="14"/>
              </a:cxn>
              <a:cxn ang="0">
                <a:pos x="130" y="25"/>
              </a:cxn>
              <a:cxn ang="0">
                <a:pos x="130" y="37"/>
              </a:cxn>
              <a:cxn ang="0">
                <a:pos x="130" y="48"/>
              </a:cxn>
              <a:cxn ang="0">
                <a:pos x="130" y="60"/>
              </a:cxn>
              <a:cxn ang="0">
                <a:pos x="130" y="72"/>
              </a:cxn>
              <a:cxn ang="0">
                <a:pos x="130" y="83"/>
              </a:cxn>
              <a:cxn ang="0">
                <a:pos x="133" y="95"/>
              </a:cxn>
              <a:cxn ang="0">
                <a:pos x="133" y="106"/>
              </a:cxn>
              <a:cxn ang="0">
                <a:pos x="133" y="118"/>
              </a:cxn>
              <a:cxn ang="0">
                <a:pos x="136" y="129"/>
              </a:cxn>
              <a:cxn ang="0">
                <a:pos x="136" y="141"/>
              </a:cxn>
              <a:cxn ang="0">
                <a:pos x="136" y="152"/>
              </a:cxn>
              <a:cxn ang="0">
                <a:pos x="136" y="164"/>
              </a:cxn>
              <a:cxn ang="0">
                <a:pos x="136" y="172"/>
              </a:cxn>
              <a:cxn ang="0">
                <a:pos x="89" y="178"/>
              </a:cxn>
              <a:cxn ang="0">
                <a:pos x="56" y="155"/>
              </a:cxn>
              <a:cxn ang="0">
                <a:pos x="0" y="178"/>
              </a:cxn>
              <a:cxn ang="0">
                <a:pos x="89" y="115"/>
              </a:cxn>
              <a:cxn ang="0">
                <a:pos x="89" y="109"/>
              </a:cxn>
              <a:cxn ang="0">
                <a:pos x="89" y="100"/>
              </a:cxn>
              <a:cxn ang="0">
                <a:pos x="89" y="92"/>
              </a:cxn>
              <a:cxn ang="0">
                <a:pos x="89" y="77"/>
              </a:cxn>
              <a:cxn ang="0">
                <a:pos x="89" y="66"/>
              </a:cxn>
              <a:cxn ang="0">
                <a:pos x="92" y="54"/>
              </a:cxn>
              <a:cxn ang="0">
                <a:pos x="92" y="46"/>
              </a:cxn>
              <a:cxn ang="0">
                <a:pos x="89" y="46"/>
              </a:cxn>
              <a:cxn ang="0">
                <a:pos x="89" y="51"/>
              </a:cxn>
              <a:cxn ang="0">
                <a:pos x="86" y="60"/>
              </a:cxn>
              <a:cxn ang="0">
                <a:pos x="83" y="66"/>
              </a:cxn>
              <a:cxn ang="0">
                <a:pos x="80" y="77"/>
              </a:cxn>
              <a:cxn ang="0">
                <a:pos x="77" y="86"/>
              </a:cxn>
              <a:cxn ang="0">
                <a:pos x="74" y="97"/>
              </a:cxn>
              <a:cxn ang="0">
                <a:pos x="71" y="112"/>
              </a:cxn>
              <a:cxn ang="0">
                <a:pos x="89" y="118"/>
              </a:cxn>
            </a:cxnLst>
            <a:rect l="0" t="0" r="r" b="b"/>
            <a:pathLst>
              <a:path w="136" h="178">
                <a:moveTo>
                  <a:pt x="0" y="178"/>
                </a:moveTo>
                <a:lnTo>
                  <a:pt x="68" y="0"/>
                </a:lnTo>
                <a:lnTo>
                  <a:pt x="127" y="0"/>
                </a:lnTo>
                <a:lnTo>
                  <a:pt x="127" y="5"/>
                </a:lnTo>
                <a:lnTo>
                  <a:pt x="127" y="8"/>
                </a:lnTo>
                <a:lnTo>
                  <a:pt x="127" y="14"/>
                </a:lnTo>
                <a:lnTo>
                  <a:pt x="127" y="20"/>
                </a:lnTo>
                <a:lnTo>
                  <a:pt x="130" y="25"/>
                </a:lnTo>
                <a:lnTo>
                  <a:pt x="130" y="31"/>
                </a:lnTo>
                <a:lnTo>
                  <a:pt x="130" y="37"/>
                </a:lnTo>
                <a:lnTo>
                  <a:pt x="130" y="43"/>
                </a:lnTo>
                <a:lnTo>
                  <a:pt x="130" y="48"/>
                </a:lnTo>
                <a:lnTo>
                  <a:pt x="130" y="54"/>
                </a:lnTo>
                <a:lnTo>
                  <a:pt x="130" y="60"/>
                </a:lnTo>
                <a:lnTo>
                  <a:pt x="130" y="66"/>
                </a:lnTo>
                <a:lnTo>
                  <a:pt x="130" y="72"/>
                </a:lnTo>
                <a:lnTo>
                  <a:pt x="130" y="77"/>
                </a:lnTo>
                <a:lnTo>
                  <a:pt x="130" y="83"/>
                </a:lnTo>
                <a:lnTo>
                  <a:pt x="130" y="89"/>
                </a:lnTo>
                <a:lnTo>
                  <a:pt x="133" y="95"/>
                </a:lnTo>
                <a:lnTo>
                  <a:pt x="133" y="100"/>
                </a:lnTo>
                <a:lnTo>
                  <a:pt x="133" y="106"/>
                </a:lnTo>
                <a:lnTo>
                  <a:pt x="133" y="112"/>
                </a:lnTo>
                <a:lnTo>
                  <a:pt x="133" y="118"/>
                </a:lnTo>
                <a:lnTo>
                  <a:pt x="133" y="123"/>
                </a:lnTo>
                <a:lnTo>
                  <a:pt x="136" y="129"/>
                </a:lnTo>
                <a:lnTo>
                  <a:pt x="136" y="135"/>
                </a:lnTo>
                <a:lnTo>
                  <a:pt x="136" y="141"/>
                </a:lnTo>
                <a:lnTo>
                  <a:pt x="136" y="146"/>
                </a:lnTo>
                <a:lnTo>
                  <a:pt x="136" y="152"/>
                </a:lnTo>
                <a:lnTo>
                  <a:pt x="136" y="158"/>
                </a:lnTo>
                <a:lnTo>
                  <a:pt x="136" y="164"/>
                </a:lnTo>
                <a:lnTo>
                  <a:pt x="136" y="169"/>
                </a:lnTo>
                <a:lnTo>
                  <a:pt x="136" y="172"/>
                </a:lnTo>
                <a:lnTo>
                  <a:pt x="136" y="178"/>
                </a:lnTo>
                <a:lnTo>
                  <a:pt x="89" y="178"/>
                </a:lnTo>
                <a:lnTo>
                  <a:pt x="89" y="155"/>
                </a:lnTo>
                <a:lnTo>
                  <a:pt x="56" y="155"/>
                </a:lnTo>
                <a:lnTo>
                  <a:pt x="48" y="178"/>
                </a:lnTo>
                <a:lnTo>
                  <a:pt x="0" y="178"/>
                </a:lnTo>
                <a:close/>
                <a:moveTo>
                  <a:pt x="89" y="118"/>
                </a:moveTo>
                <a:lnTo>
                  <a:pt x="89" y="115"/>
                </a:lnTo>
                <a:lnTo>
                  <a:pt x="89" y="112"/>
                </a:lnTo>
                <a:lnTo>
                  <a:pt x="89" y="109"/>
                </a:lnTo>
                <a:lnTo>
                  <a:pt x="89" y="106"/>
                </a:lnTo>
                <a:lnTo>
                  <a:pt x="89" y="100"/>
                </a:lnTo>
                <a:lnTo>
                  <a:pt x="89" y="97"/>
                </a:lnTo>
                <a:lnTo>
                  <a:pt x="89" y="92"/>
                </a:lnTo>
                <a:lnTo>
                  <a:pt x="89" y="86"/>
                </a:lnTo>
                <a:lnTo>
                  <a:pt x="89" y="77"/>
                </a:lnTo>
                <a:lnTo>
                  <a:pt x="89" y="72"/>
                </a:lnTo>
                <a:lnTo>
                  <a:pt x="89" y="66"/>
                </a:lnTo>
                <a:lnTo>
                  <a:pt x="89" y="60"/>
                </a:lnTo>
                <a:lnTo>
                  <a:pt x="92" y="54"/>
                </a:lnTo>
                <a:lnTo>
                  <a:pt x="92" y="51"/>
                </a:lnTo>
                <a:lnTo>
                  <a:pt x="92" y="46"/>
                </a:lnTo>
                <a:lnTo>
                  <a:pt x="92" y="43"/>
                </a:lnTo>
                <a:lnTo>
                  <a:pt x="89" y="46"/>
                </a:lnTo>
                <a:lnTo>
                  <a:pt x="89" y="48"/>
                </a:lnTo>
                <a:lnTo>
                  <a:pt x="89" y="51"/>
                </a:lnTo>
                <a:lnTo>
                  <a:pt x="86" y="54"/>
                </a:lnTo>
                <a:lnTo>
                  <a:pt x="86" y="60"/>
                </a:lnTo>
                <a:lnTo>
                  <a:pt x="86" y="63"/>
                </a:lnTo>
                <a:lnTo>
                  <a:pt x="83" y="66"/>
                </a:lnTo>
                <a:lnTo>
                  <a:pt x="83" y="72"/>
                </a:lnTo>
                <a:lnTo>
                  <a:pt x="80" y="77"/>
                </a:lnTo>
                <a:lnTo>
                  <a:pt x="80" y="83"/>
                </a:lnTo>
                <a:lnTo>
                  <a:pt x="77" y="86"/>
                </a:lnTo>
                <a:lnTo>
                  <a:pt x="74" y="92"/>
                </a:lnTo>
                <a:lnTo>
                  <a:pt x="74" y="97"/>
                </a:lnTo>
                <a:lnTo>
                  <a:pt x="71" y="103"/>
                </a:lnTo>
                <a:lnTo>
                  <a:pt x="71" y="112"/>
                </a:lnTo>
                <a:lnTo>
                  <a:pt x="68" y="118"/>
                </a:lnTo>
                <a:lnTo>
                  <a:pt x="89" y="11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4" name="Freeform 193">
            <a:extLst>
              <a:ext uri="{FF2B5EF4-FFF2-40B4-BE49-F238E27FC236}">
                <a16:creationId xmlns:a16="http://schemas.microsoft.com/office/drawing/2014/main" id="{00000000-0008-0000-0100-0000C2000000}"/>
              </a:ext>
            </a:extLst>
          </xdr:cNvPr>
          <xdr:cNvSpPr>
            <a:spLocks noEditPoints="1"/>
          </xdr:cNvSpPr>
        </xdr:nvSpPr>
        <xdr:spPr>
          <a:xfrm>
            <a:off x="10815" y="9840"/>
            <a:ext cx="135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0" y="0"/>
              </a:cxn>
              <a:cxn ang="0">
                <a:pos x="82" y="2"/>
              </a:cxn>
              <a:cxn ang="0">
                <a:pos x="91" y="5"/>
              </a:cxn>
              <a:cxn ang="0">
                <a:pos x="97" y="5"/>
              </a:cxn>
              <a:cxn ang="0">
                <a:pos x="106" y="11"/>
              </a:cxn>
              <a:cxn ang="0">
                <a:pos x="111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7" y="178"/>
              </a:cxn>
              <a:cxn ang="0">
                <a:pos x="61" y="178"/>
              </a:cxn>
              <a:cxn ang="0">
                <a:pos x="56" y="178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67" y="132"/>
              </a:cxn>
              <a:cxn ang="0">
                <a:pos x="73" y="126"/>
              </a:cxn>
              <a:cxn ang="0">
                <a:pos x="79" y="120"/>
              </a:cxn>
              <a:cxn ang="0">
                <a:pos x="82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6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0" y="0"/>
                </a:lnTo>
                <a:lnTo>
                  <a:pt x="76" y="2"/>
                </a:lnTo>
                <a:lnTo>
                  <a:pt x="82" y="2"/>
                </a:lnTo>
                <a:lnTo>
                  <a:pt x="85" y="2"/>
                </a:lnTo>
                <a:lnTo>
                  <a:pt x="91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8" y="14"/>
                </a:lnTo>
                <a:lnTo>
                  <a:pt x="111" y="17"/>
                </a:lnTo>
                <a:lnTo>
                  <a:pt x="117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1" y="146"/>
                </a:lnTo>
                <a:lnTo>
                  <a:pt x="108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7" y="178"/>
                </a:lnTo>
                <a:lnTo>
                  <a:pt x="64" y="178"/>
                </a:lnTo>
                <a:lnTo>
                  <a:pt x="61" y="178"/>
                </a:lnTo>
                <a:lnTo>
                  <a:pt x="58" y="178"/>
                </a:lnTo>
                <a:lnTo>
                  <a:pt x="56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6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67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9" y="120"/>
                </a:lnTo>
                <a:lnTo>
                  <a:pt x="79" y="115"/>
                </a:lnTo>
                <a:lnTo>
                  <a:pt x="82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7" y="46"/>
                </a:lnTo>
                <a:lnTo>
                  <a:pt x="56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5" name="Freeform 194">
            <a:extLst>
              <a:ext uri="{FF2B5EF4-FFF2-40B4-BE49-F238E27FC236}">
                <a16:creationId xmlns:a16="http://schemas.microsoft.com/office/drawing/2014/main" id="{00000000-0008-0000-0100-0000C3000000}"/>
              </a:ext>
            </a:extLst>
          </xdr:cNvPr>
          <xdr:cNvSpPr>
            <a:spLocks noEditPoints="1"/>
          </xdr:cNvSpPr>
        </xdr:nvSpPr>
        <xdr:spPr>
          <a:xfrm>
            <a:off x="10053" y="10076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82" y="0"/>
              </a:cxn>
              <a:cxn ang="0">
                <a:pos x="88" y="3"/>
              </a:cxn>
              <a:cxn ang="0">
                <a:pos x="97" y="5"/>
              </a:cxn>
              <a:cxn ang="0">
                <a:pos x="105" y="8"/>
              </a:cxn>
              <a:cxn ang="0">
                <a:pos x="114" y="14"/>
              </a:cxn>
              <a:cxn ang="0">
                <a:pos x="120" y="20"/>
              </a:cxn>
              <a:cxn ang="0">
                <a:pos x="123" y="26"/>
              </a:cxn>
              <a:cxn ang="0">
                <a:pos x="129" y="34"/>
              </a:cxn>
              <a:cxn ang="0">
                <a:pos x="132" y="46"/>
              </a:cxn>
              <a:cxn ang="0">
                <a:pos x="135" y="54"/>
              </a:cxn>
              <a:cxn ang="0">
                <a:pos x="135" y="66"/>
              </a:cxn>
              <a:cxn ang="0">
                <a:pos x="135" y="75"/>
              </a:cxn>
              <a:cxn ang="0">
                <a:pos x="135" y="80"/>
              </a:cxn>
              <a:cxn ang="0">
                <a:pos x="135" y="89"/>
              </a:cxn>
              <a:cxn ang="0">
                <a:pos x="132" y="95"/>
              </a:cxn>
              <a:cxn ang="0">
                <a:pos x="132" y="100"/>
              </a:cxn>
              <a:cxn ang="0">
                <a:pos x="129" y="106"/>
              </a:cxn>
              <a:cxn ang="0">
                <a:pos x="129" y="115"/>
              </a:cxn>
              <a:cxn ang="0">
                <a:pos x="126" y="121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49"/>
              </a:cxn>
              <a:cxn ang="0">
                <a:pos x="100" y="158"/>
              </a:cxn>
              <a:cxn ang="0">
                <a:pos x="94" y="164"/>
              </a:cxn>
              <a:cxn ang="0">
                <a:pos x="88" y="167"/>
              </a:cxn>
              <a:cxn ang="0">
                <a:pos x="82" y="172"/>
              </a:cxn>
              <a:cxn ang="0">
                <a:pos x="76" y="172"/>
              </a:cxn>
              <a:cxn ang="0">
                <a:pos x="70" y="175"/>
              </a:cxn>
              <a:cxn ang="0">
                <a:pos x="61" y="178"/>
              </a:cxn>
              <a:cxn ang="0">
                <a:pos x="55" y="178"/>
              </a:cxn>
              <a:cxn ang="0">
                <a:pos x="47" y="178"/>
              </a:cxn>
              <a:cxn ang="0">
                <a:pos x="0" y="178"/>
              </a:cxn>
              <a:cxn ang="0">
                <a:pos x="58" y="135"/>
              </a:cxn>
              <a:cxn ang="0">
                <a:pos x="64" y="132"/>
              </a:cxn>
              <a:cxn ang="0">
                <a:pos x="67" y="129"/>
              </a:cxn>
              <a:cxn ang="0">
                <a:pos x="73" y="124"/>
              </a:cxn>
              <a:cxn ang="0">
                <a:pos x="79" y="118"/>
              </a:cxn>
              <a:cxn ang="0">
                <a:pos x="82" y="112"/>
              </a:cxn>
              <a:cxn ang="0">
                <a:pos x="85" y="103"/>
              </a:cxn>
              <a:cxn ang="0">
                <a:pos x="85" y="95"/>
              </a:cxn>
              <a:cxn ang="0">
                <a:pos x="85" y="89"/>
              </a:cxn>
              <a:cxn ang="0">
                <a:pos x="85" y="86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5"/>
              </a:cxn>
              <a:cxn ang="0">
                <a:pos x="88" y="66"/>
              </a:cxn>
              <a:cxn ang="0">
                <a:pos x="85" y="54"/>
              </a:cxn>
              <a:cxn ang="0">
                <a:pos x="79" y="49"/>
              </a:cxn>
              <a:cxn ang="0">
                <a:pos x="73" y="43"/>
              </a:cxn>
              <a:cxn ang="0">
                <a:pos x="53" y="135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67" y="0"/>
                </a:lnTo>
                <a:lnTo>
                  <a:pt x="70" y="0"/>
                </a:lnTo>
                <a:lnTo>
                  <a:pt x="76" y="0"/>
                </a:lnTo>
                <a:lnTo>
                  <a:pt x="82" y="0"/>
                </a:lnTo>
                <a:lnTo>
                  <a:pt x="85" y="3"/>
                </a:lnTo>
                <a:lnTo>
                  <a:pt x="88" y="3"/>
                </a:lnTo>
                <a:lnTo>
                  <a:pt x="94" y="3"/>
                </a:lnTo>
                <a:lnTo>
                  <a:pt x="97" y="5"/>
                </a:lnTo>
                <a:lnTo>
                  <a:pt x="103" y="8"/>
                </a:lnTo>
                <a:lnTo>
                  <a:pt x="105" y="8"/>
                </a:lnTo>
                <a:lnTo>
                  <a:pt x="108" y="11"/>
                </a:lnTo>
                <a:lnTo>
                  <a:pt x="114" y="14"/>
                </a:lnTo>
                <a:lnTo>
                  <a:pt x="117" y="17"/>
                </a:lnTo>
                <a:lnTo>
                  <a:pt x="120" y="20"/>
                </a:lnTo>
                <a:lnTo>
                  <a:pt x="123" y="23"/>
                </a:lnTo>
                <a:lnTo>
                  <a:pt x="123" y="26"/>
                </a:lnTo>
                <a:lnTo>
                  <a:pt x="126" y="31"/>
                </a:lnTo>
                <a:lnTo>
                  <a:pt x="129" y="34"/>
                </a:lnTo>
                <a:lnTo>
                  <a:pt x="129" y="40"/>
                </a:lnTo>
                <a:lnTo>
                  <a:pt x="132" y="46"/>
                </a:lnTo>
                <a:lnTo>
                  <a:pt x="135" y="49"/>
                </a:lnTo>
                <a:lnTo>
                  <a:pt x="135" y="54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5"/>
                </a:lnTo>
                <a:lnTo>
                  <a:pt x="135" y="77"/>
                </a:lnTo>
                <a:lnTo>
                  <a:pt x="135" y="80"/>
                </a:lnTo>
                <a:lnTo>
                  <a:pt x="135" y="83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98"/>
                </a:lnTo>
                <a:lnTo>
                  <a:pt x="132" y="100"/>
                </a:lnTo>
                <a:lnTo>
                  <a:pt x="132" y="103"/>
                </a:lnTo>
                <a:lnTo>
                  <a:pt x="129" y="106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1"/>
                </a:lnTo>
                <a:lnTo>
                  <a:pt x="126" y="124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4" y="144"/>
                </a:lnTo>
                <a:lnTo>
                  <a:pt x="108" y="149"/>
                </a:lnTo>
                <a:lnTo>
                  <a:pt x="105" y="155"/>
                </a:lnTo>
                <a:lnTo>
                  <a:pt x="100" y="158"/>
                </a:lnTo>
                <a:lnTo>
                  <a:pt x="97" y="164"/>
                </a:lnTo>
                <a:lnTo>
                  <a:pt x="94" y="164"/>
                </a:lnTo>
                <a:lnTo>
                  <a:pt x="91" y="167"/>
                </a:lnTo>
                <a:lnTo>
                  <a:pt x="88" y="167"/>
                </a:lnTo>
                <a:lnTo>
                  <a:pt x="85" y="170"/>
                </a:lnTo>
                <a:lnTo>
                  <a:pt x="82" y="172"/>
                </a:lnTo>
                <a:lnTo>
                  <a:pt x="79" y="172"/>
                </a:lnTo>
                <a:lnTo>
                  <a:pt x="76" y="172"/>
                </a:lnTo>
                <a:lnTo>
                  <a:pt x="73" y="175"/>
                </a:lnTo>
                <a:lnTo>
                  <a:pt x="70" y="175"/>
                </a:lnTo>
                <a:lnTo>
                  <a:pt x="64" y="175"/>
                </a:lnTo>
                <a:lnTo>
                  <a:pt x="61" y="178"/>
                </a:lnTo>
                <a:lnTo>
                  <a:pt x="58" y="178"/>
                </a:lnTo>
                <a:lnTo>
                  <a:pt x="55" y="178"/>
                </a:lnTo>
                <a:lnTo>
                  <a:pt x="50" y="178"/>
                </a:lnTo>
                <a:lnTo>
                  <a:pt x="47" y="178"/>
                </a:lnTo>
                <a:lnTo>
                  <a:pt x="44" y="178"/>
                </a:lnTo>
                <a:lnTo>
                  <a:pt x="0" y="178"/>
                </a:lnTo>
                <a:close/>
                <a:moveTo>
                  <a:pt x="53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2"/>
                </a:lnTo>
                <a:lnTo>
                  <a:pt x="64" y="132"/>
                </a:lnTo>
                <a:lnTo>
                  <a:pt x="67" y="129"/>
                </a:lnTo>
                <a:lnTo>
                  <a:pt x="70" y="126"/>
                </a:lnTo>
                <a:lnTo>
                  <a:pt x="73" y="124"/>
                </a:lnTo>
                <a:lnTo>
                  <a:pt x="76" y="121"/>
                </a:lnTo>
                <a:lnTo>
                  <a:pt x="79" y="118"/>
                </a:lnTo>
                <a:lnTo>
                  <a:pt x="79" y="115"/>
                </a:lnTo>
                <a:lnTo>
                  <a:pt x="82" y="112"/>
                </a:lnTo>
                <a:lnTo>
                  <a:pt x="82" y="106"/>
                </a:lnTo>
                <a:lnTo>
                  <a:pt x="85" y="103"/>
                </a:lnTo>
                <a:lnTo>
                  <a:pt x="85" y="100"/>
                </a:lnTo>
                <a:lnTo>
                  <a:pt x="85" y="95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6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5"/>
                </a:lnTo>
                <a:lnTo>
                  <a:pt x="88" y="75"/>
                </a:lnTo>
                <a:lnTo>
                  <a:pt x="88" y="75"/>
                </a:lnTo>
                <a:lnTo>
                  <a:pt x="88" y="66"/>
                </a:lnTo>
                <a:lnTo>
                  <a:pt x="85" y="60"/>
                </a:lnTo>
                <a:lnTo>
                  <a:pt x="85" y="54"/>
                </a:lnTo>
                <a:lnTo>
                  <a:pt x="82" y="52"/>
                </a:lnTo>
                <a:lnTo>
                  <a:pt x="79" y="49"/>
                </a:lnTo>
                <a:lnTo>
                  <a:pt x="76" y="46"/>
                </a:lnTo>
                <a:lnTo>
                  <a:pt x="73" y="43"/>
                </a:lnTo>
                <a:lnTo>
                  <a:pt x="67" y="43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6" name="Freeform 195">
            <a:extLst>
              <a:ext uri="{FF2B5EF4-FFF2-40B4-BE49-F238E27FC236}">
                <a16:creationId xmlns:a16="http://schemas.microsoft.com/office/drawing/2014/main" id="{00000000-0008-0000-0100-0000C4000000}"/>
              </a:ext>
            </a:extLst>
          </xdr:cNvPr>
          <xdr:cNvSpPr/>
        </xdr:nvSpPr>
        <xdr:spPr>
          <a:xfrm>
            <a:off x="10188" y="10073"/>
            <a:ext cx="115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9"/>
              </a:cxn>
              <a:cxn ang="0">
                <a:pos x="100" y="69"/>
              </a:cxn>
              <a:cxn ang="0">
                <a:pos x="94" y="109"/>
              </a:cxn>
              <a:cxn ang="0">
                <a:pos x="59" y="109"/>
              </a:cxn>
              <a:cxn ang="0">
                <a:pos x="56" y="138"/>
              </a:cxn>
              <a:cxn ang="0">
                <a:pos x="94" y="138"/>
              </a:cxn>
              <a:cxn ang="0">
                <a:pos x="88" y="181"/>
              </a:cxn>
              <a:cxn ang="0">
                <a:pos x="0" y="181"/>
              </a:cxn>
            </a:cxnLst>
            <a:rect l="0" t="0" r="r" b="b"/>
            <a:pathLst>
              <a:path w="115" h="181">
                <a:moveTo>
                  <a:pt x="0" y="181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9"/>
                </a:lnTo>
                <a:lnTo>
                  <a:pt x="100" y="69"/>
                </a:lnTo>
                <a:lnTo>
                  <a:pt x="94" y="109"/>
                </a:lnTo>
                <a:lnTo>
                  <a:pt x="59" y="109"/>
                </a:lnTo>
                <a:lnTo>
                  <a:pt x="56" y="138"/>
                </a:lnTo>
                <a:lnTo>
                  <a:pt x="94" y="138"/>
                </a:lnTo>
                <a:lnTo>
                  <a:pt x="88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7" name="Freeform 196">
            <a:extLst>
              <a:ext uri="{FF2B5EF4-FFF2-40B4-BE49-F238E27FC236}">
                <a16:creationId xmlns:a16="http://schemas.microsoft.com/office/drawing/2014/main" id="{00000000-0008-0000-0100-0000C5000000}"/>
              </a:ext>
            </a:extLst>
          </xdr:cNvPr>
          <xdr:cNvSpPr/>
        </xdr:nvSpPr>
        <xdr:spPr>
          <a:xfrm>
            <a:off x="10426" y="10073"/>
            <a:ext cx="89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7" y="0"/>
              </a:cxn>
              <a:cxn ang="0">
                <a:pos x="74" y="0"/>
              </a:cxn>
              <a:cxn ang="0">
                <a:pos x="53" y="138"/>
              </a:cxn>
              <a:cxn ang="0">
                <a:pos x="89" y="138"/>
              </a:cxn>
              <a:cxn ang="0">
                <a:pos x="83" y="181"/>
              </a:cxn>
              <a:cxn ang="0">
                <a:pos x="0" y="181"/>
              </a:cxn>
            </a:cxnLst>
            <a:rect l="0" t="0" r="r" b="b"/>
            <a:pathLst>
              <a:path w="89" h="181">
                <a:moveTo>
                  <a:pt x="0" y="181"/>
                </a:moveTo>
                <a:lnTo>
                  <a:pt x="27" y="0"/>
                </a:lnTo>
                <a:lnTo>
                  <a:pt x="74" y="0"/>
                </a:lnTo>
                <a:lnTo>
                  <a:pt x="53" y="138"/>
                </a:lnTo>
                <a:lnTo>
                  <a:pt x="89" y="138"/>
                </a:lnTo>
                <a:lnTo>
                  <a:pt x="83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8" name="Freeform 197">
            <a:extLst>
              <a:ext uri="{FF2B5EF4-FFF2-40B4-BE49-F238E27FC236}">
                <a16:creationId xmlns:a16="http://schemas.microsoft.com/office/drawing/2014/main" id="{00000000-0008-0000-0100-0000C6000000}"/>
              </a:ext>
            </a:extLst>
          </xdr:cNvPr>
          <xdr:cNvSpPr/>
        </xdr:nvSpPr>
        <xdr:spPr>
          <a:xfrm>
            <a:off x="10520" y="10073"/>
            <a:ext cx="115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7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9"/>
              </a:cxn>
              <a:cxn ang="0">
                <a:pos x="100" y="69"/>
              </a:cxn>
              <a:cxn ang="0">
                <a:pos x="95" y="109"/>
              </a:cxn>
              <a:cxn ang="0">
                <a:pos x="59" y="109"/>
              </a:cxn>
              <a:cxn ang="0">
                <a:pos x="53" y="138"/>
              </a:cxn>
              <a:cxn ang="0">
                <a:pos x="95" y="138"/>
              </a:cxn>
              <a:cxn ang="0">
                <a:pos x="86" y="181"/>
              </a:cxn>
              <a:cxn ang="0">
                <a:pos x="0" y="181"/>
              </a:cxn>
            </a:cxnLst>
            <a:rect l="0" t="0" r="r" b="b"/>
            <a:pathLst>
              <a:path w="115" h="181">
                <a:moveTo>
                  <a:pt x="0" y="181"/>
                </a:moveTo>
                <a:lnTo>
                  <a:pt x="27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9"/>
                </a:lnTo>
                <a:lnTo>
                  <a:pt x="100" y="69"/>
                </a:lnTo>
                <a:lnTo>
                  <a:pt x="95" y="109"/>
                </a:lnTo>
                <a:lnTo>
                  <a:pt x="59" y="109"/>
                </a:lnTo>
                <a:lnTo>
                  <a:pt x="53" y="138"/>
                </a:lnTo>
                <a:lnTo>
                  <a:pt x="95" y="138"/>
                </a:lnTo>
                <a:lnTo>
                  <a:pt x="86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9" name="Freeform 198">
            <a:extLst>
              <a:ext uri="{FF2B5EF4-FFF2-40B4-BE49-F238E27FC236}">
                <a16:creationId xmlns:a16="http://schemas.microsoft.com/office/drawing/2014/main" id="{00000000-0008-0000-0100-0000C7000000}"/>
              </a:ext>
            </a:extLst>
          </xdr:cNvPr>
          <xdr:cNvSpPr>
            <a:spLocks noEditPoints="1"/>
          </xdr:cNvSpPr>
        </xdr:nvSpPr>
        <xdr:spPr>
          <a:xfrm>
            <a:off x="10632" y="10070"/>
            <a:ext cx="138" cy="187"/>
          </a:xfrm>
          <a:custGeom>
            <a:avLst/>
            <a:gdLst/>
            <a:ahLst/>
            <a:cxnLst>
              <a:cxn ang="0">
                <a:pos x="50" y="130"/>
              </a:cxn>
              <a:cxn ang="0">
                <a:pos x="59" y="141"/>
              </a:cxn>
              <a:cxn ang="0">
                <a:pos x="62" y="141"/>
              </a:cxn>
              <a:cxn ang="0">
                <a:pos x="71" y="138"/>
              </a:cxn>
              <a:cxn ang="0">
                <a:pos x="80" y="127"/>
              </a:cxn>
              <a:cxn ang="0">
                <a:pos x="86" y="109"/>
              </a:cxn>
              <a:cxn ang="0">
                <a:pos x="88" y="86"/>
              </a:cxn>
              <a:cxn ang="0">
                <a:pos x="88" y="78"/>
              </a:cxn>
              <a:cxn ang="0">
                <a:pos x="91" y="72"/>
              </a:cxn>
              <a:cxn ang="0">
                <a:pos x="88" y="55"/>
              </a:cxn>
              <a:cxn ang="0">
                <a:pos x="80" y="46"/>
              </a:cxn>
              <a:cxn ang="0">
                <a:pos x="71" y="49"/>
              </a:cxn>
              <a:cxn ang="0">
                <a:pos x="65" y="55"/>
              </a:cxn>
              <a:cxn ang="0">
                <a:pos x="59" y="63"/>
              </a:cxn>
              <a:cxn ang="0">
                <a:pos x="53" y="78"/>
              </a:cxn>
              <a:cxn ang="0">
                <a:pos x="50" y="92"/>
              </a:cxn>
              <a:cxn ang="0">
                <a:pos x="50" y="106"/>
              </a:cxn>
              <a:cxn ang="0">
                <a:pos x="3" y="104"/>
              </a:cxn>
              <a:cxn ang="0">
                <a:pos x="6" y="89"/>
              </a:cxn>
              <a:cxn ang="0">
                <a:pos x="9" y="75"/>
              </a:cxn>
              <a:cxn ang="0">
                <a:pos x="12" y="60"/>
              </a:cxn>
              <a:cxn ang="0">
                <a:pos x="21" y="43"/>
              </a:cxn>
              <a:cxn ang="0">
                <a:pos x="35" y="23"/>
              </a:cxn>
              <a:cxn ang="0">
                <a:pos x="53" y="9"/>
              </a:cxn>
              <a:cxn ang="0">
                <a:pos x="74" y="0"/>
              </a:cxn>
              <a:cxn ang="0">
                <a:pos x="94" y="0"/>
              </a:cxn>
              <a:cxn ang="0">
                <a:pos x="109" y="6"/>
              </a:cxn>
              <a:cxn ang="0">
                <a:pos x="121" y="14"/>
              </a:cxn>
              <a:cxn ang="0">
                <a:pos x="130" y="29"/>
              </a:cxn>
              <a:cxn ang="0">
                <a:pos x="136" y="46"/>
              </a:cxn>
              <a:cxn ang="0">
                <a:pos x="138" y="63"/>
              </a:cxn>
              <a:cxn ang="0">
                <a:pos x="138" y="81"/>
              </a:cxn>
              <a:cxn ang="0">
                <a:pos x="138" y="92"/>
              </a:cxn>
              <a:cxn ang="0">
                <a:pos x="136" y="106"/>
              </a:cxn>
              <a:cxn ang="0">
                <a:pos x="133" y="118"/>
              </a:cxn>
              <a:cxn ang="0">
                <a:pos x="124" y="138"/>
              </a:cxn>
              <a:cxn ang="0">
                <a:pos x="109" y="161"/>
              </a:cxn>
              <a:cxn ang="0">
                <a:pos x="91" y="178"/>
              </a:cxn>
              <a:cxn ang="0">
                <a:pos x="68" y="187"/>
              </a:cxn>
              <a:cxn ang="0">
                <a:pos x="47" y="187"/>
              </a:cxn>
              <a:cxn ang="0">
                <a:pos x="35" y="184"/>
              </a:cxn>
              <a:cxn ang="0">
                <a:pos x="27" y="178"/>
              </a:cxn>
              <a:cxn ang="0">
                <a:pos x="18" y="173"/>
              </a:cxn>
              <a:cxn ang="0">
                <a:pos x="12" y="161"/>
              </a:cxn>
              <a:cxn ang="0">
                <a:pos x="6" y="150"/>
              </a:cxn>
              <a:cxn ang="0">
                <a:pos x="3" y="138"/>
              </a:cxn>
              <a:cxn ang="0">
                <a:pos x="3" y="124"/>
              </a:cxn>
              <a:cxn ang="0">
                <a:pos x="0" y="115"/>
              </a:cxn>
              <a:cxn ang="0">
                <a:pos x="0" y="112"/>
              </a:cxn>
            </a:cxnLst>
            <a:rect l="0" t="0" r="r" b="b"/>
            <a:pathLst>
              <a:path w="138" h="187">
                <a:moveTo>
                  <a:pt x="50" y="109"/>
                </a:moveTo>
                <a:lnTo>
                  <a:pt x="50" y="118"/>
                </a:lnTo>
                <a:lnTo>
                  <a:pt x="50" y="124"/>
                </a:lnTo>
                <a:lnTo>
                  <a:pt x="50" y="130"/>
                </a:lnTo>
                <a:lnTo>
                  <a:pt x="53" y="135"/>
                </a:lnTo>
                <a:lnTo>
                  <a:pt x="56" y="138"/>
                </a:lnTo>
                <a:lnTo>
                  <a:pt x="56" y="141"/>
                </a:lnTo>
                <a:lnTo>
                  <a:pt x="59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5" y="141"/>
                </a:lnTo>
                <a:lnTo>
                  <a:pt x="65" y="141"/>
                </a:lnTo>
                <a:lnTo>
                  <a:pt x="68" y="141"/>
                </a:lnTo>
                <a:lnTo>
                  <a:pt x="71" y="138"/>
                </a:lnTo>
                <a:lnTo>
                  <a:pt x="74" y="135"/>
                </a:lnTo>
                <a:lnTo>
                  <a:pt x="77" y="132"/>
                </a:lnTo>
                <a:lnTo>
                  <a:pt x="77" y="130"/>
                </a:lnTo>
                <a:lnTo>
                  <a:pt x="80" y="127"/>
                </a:lnTo>
                <a:lnTo>
                  <a:pt x="83" y="124"/>
                </a:lnTo>
                <a:lnTo>
                  <a:pt x="83" y="118"/>
                </a:lnTo>
                <a:lnTo>
                  <a:pt x="86" y="112"/>
                </a:lnTo>
                <a:lnTo>
                  <a:pt x="86" y="109"/>
                </a:lnTo>
                <a:lnTo>
                  <a:pt x="88" y="104"/>
                </a:lnTo>
                <a:lnTo>
                  <a:pt x="88" y="98"/>
                </a:lnTo>
                <a:lnTo>
                  <a:pt x="88" y="92"/>
                </a:lnTo>
                <a:lnTo>
                  <a:pt x="88" y="86"/>
                </a:lnTo>
                <a:lnTo>
                  <a:pt x="88" y="81"/>
                </a:lnTo>
                <a:lnTo>
                  <a:pt x="88" y="81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91" y="75"/>
                </a:lnTo>
                <a:lnTo>
                  <a:pt x="91" y="72"/>
                </a:lnTo>
                <a:lnTo>
                  <a:pt x="91" y="72"/>
                </a:lnTo>
                <a:lnTo>
                  <a:pt x="91" y="69"/>
                </a:lnTo>
                <a:lnTo>
                  <a:pt x="91" y="63"/>
                </a:lnTo>
                <a:lnTo>
                  <a:pt x="91" y="60"/>
                </a:lnTo>
                <a:lnTo>
                  <a:pt x="88" y="55"/>
                </a:lnTo>
                <a:lnTo>
                  <a:pt x="88" y="52"/>
                </a:lnTo>
                <a:lnTo>
                  <a:pt x="86" y="49"/>
                </a:lnTo>
                <a:lnTo>
                  <a:pt x="83" y="49"/>
                </a:lnTo>
                <a:lnTo>
                  <a:pt x="80" y="46"/>
                </a:lnTo>
                <a:lnTo>
                  <a:pt x="77" y="46"/>
                </a:lnTo>
                <a:lnTo>
                  <a:pt x="77" y="46"/>
                </a:lnTo>
                <a:lnTo>
                  <a:pt x="74" y="46"/>
                </a:lnTo>
                <a:lnTo>
                  <a:pt x="71" y="49"/>
                </a:lnTo>
                <a:lnTo>
                  <a:pt x="71" y="49"/>
                </a:lnTo>
                <a:lnTo>
                  <a:pt x="68" y="49"/>
                </a:lnTo>
                <a:lnTo>
                  <a:pt x="68" y="52"/>
                </a:lnTo>
                <a:lnTo>
                  <a:pt x="65" y="55"/>
                </a:lnTo>
                <a:lnTo>
                  <a:pt x="65" y="55"/>
                </a:lnTo>
                <a:lnTo>
                  <a:pt x="62" y="58"/>
                </a:lnTo>
                <a:lnTo>
                  <a:pt x="62" y="60"/>
                </a:lnTo>
                <a:lnTo>
                  <a:pt x="59" y="63"/>
                </a:lnTo>
                <a:lnTo>
                  <a:pt x="59" y="69"/>
                </a:lnTo>
                <a:lnTo>
                  <a:pt x="56" y="72"/>
                </a:lnTo>
                <a:lnTo>
                  <a:pt x="56" y="75"/>
                </a:lnTo>
                <a:lnTo>
                  <a:pt x="53" y="78"/>
                </a:lnTo>
                <a:lnTo>
                  <a:pt x="53" y="81"/>
                </a:lnTo>
                <a:lnTo>
                  <a:pt x="53" y="86"/>
                </a:lnTo>
                <a:lnTo>
                  <a:pt x="53" y="89"/>
                </a:lnTo>
                <a:lnTo>
                  <a:pt x="50" y="92"/>
                </a:lnTo>
                <a:lnTo>
                  <a:pt x="50" y="95"/>
                </a:lnTo>
                <a:lnTo>
                  <a:pt x="50" y="101"/>
                </a:lnTo>
                <a:lnTo>
                  <a:pt x="50" y="104"/>
                </a:lnTo>
                <a:lnTo>
                  <a:pt x="50" y="106"/>
                </a:lnTo>
                <a:lnTo>
                  <a:pt x="50" y="109"/>
                </a:lnTo>
                <a:close/>
                <a:moveTo>
                  <a:pt x="3" y="109"/>
                </a:moveTo>
                <a:lnTo>
                  <a:pt x="3" y="106"/>
                </a:lnTo>
                <a:lnTo>
                  <a:pt x="3" y="104"/>
                </a:lnTo>
                <a:lnTo>
                  <a:pt x="3" y="101"/>
                </a:lnTo>
                <a:lnTo>
                  <a:pt x="3" y="95"/>
                </a:lnTo>
                <a:lnTo>
                  <a:pt x="3" y="92"/>
                </a:lnTo>
                <a:lnTo>
                  <a:pt x="6" y="89"/>
                </a:lnTo>
                <a:lnTo>
                  <a:pt x="6" y="86"/>
                </a:lnTo>
                <a:lnTo>
                  <a:pt x="6" y="81"/>
                </a:lnTo>
                <a:lnTo>
                  <a:pt x="6" y="78"/>
                </a:lnTo>
                <a:lnTo>
                  <a:pt x="9" y="75"/>
                </a:lnTo>
                <a:lnTo>
                  <a:pt x="9" y="72"/>
                </a:lnTo>
                <a:lnTo>
                  <a:pt x="9" y="69"/>
                </a:lnTo>
                <a:lnTo>
                  <a:pt x="12" y="66"/>
                </a:lnTo>
                <a:lnTo>
                  <a:pt x="12" y="60"/>
                </a:lnTo>
                <a:lnTo>
                  <a:pt x="12" y="58"/>
                </a:lnTo>
                <a:lnTo>
                  <a:pt x="15" y="55"/>
                </a:lnTo>
                <a:lnTo>
                  <a:pt x="18" y="49"/>
                </a:lnTo>
                <a:lnTo>
                  <a:pt x="21" y="43"/>
                </a:lnTo>
                <a:lnTo>
                  <a:pt x="24" y="37"/>
                </a:lnTo>
                <a:lnTo>
                  <a:pt x="27" y="34"/>
                </a:lnTo>
                <a:lnTo>
                  <a:pt x="33" y="29"/>
                </a:lnTo>
                <a:lnTo>
                  <a:pt x="35" y="23"/>
                </a:lnTo>
                <a:lnTo>
                  <a:pt x="41" y="20"/>
                </a:lnTo>
                <a:lnTo>
                  <a:pt x="44" y="14"/>
                </a:lnTo>
                <a:lnTo>
                  <a:pt x="50" y="11"/>
                </a:lnTo>
                <a:lnTo>
                  <a:pt x="53" y="9"/>
                </a:lnTo>
                <a:lnTo>
                  <a:pt x="59" y="6"/>
                </a:lnTo>
                <a:lnTo>
                  <a:pt x="65" y="3"/>
                </a:lnTo>
                <a:lnTo>
                  <a:pt x="71" y="3"/>
                </a:lnTo>
                <a:lnTo>
                  <a:pt x="74" y="0"/>
                </a:lnTo>
                <a:lnTo>
                  <a:pt x="80" y="0"/>
                </a:lnTo>
                <a:lnTo>
                  <a:pt x="86" y="0"/>
                </a:lnTo>
                <a:lnTo>
                  <a:pt x="91" y="0"/>
                </a:lnTo>
                <a:lnTo>
                  <a:pt x="94" y="0"/>
                </a:lnTo>
                <a:lnTo>
                  <a:pt x="100" y="3"/>
                </a:lnTo>
                <a:lnTo>
                  <a:pt x="103" y="3"/>
                </a:lnTo>
                <a:lnTo>
                  <a:pt x="106" y="6"/>
                </a:lnTo>
                <a:lnTo>
                  <a:pt x="109" y="6"/>
                </a:lnTo>
                <a:lnTo>
                  <a:pt x="115" y="9"/>
                </a:lnTo>
                <a:lnTo>
                  <a:pt x="118" y="11"/>
                </a:lnTo>
                <a:lnTo>
                  <a:pt x="118" y="11"/>
                </a:lnTo>
                <a:lnTo>
                  <a:pt x="121" y="14"/>
                </a:lnTo>
                <a:lnTo>
                  <a:pt x="124" y="17"/>
                </a:lnTo>
                <a:lnTo>
                  <a:pt x="127" y="23"/>
                </a:lnTo>
                <a:lnTo>
                  <a:pt x="130" y="26"/>
                </a:lnTo>
                <a:lnTo>
                  <a:pt x="130" y="29"/>
                </a:lnTo>
                <a:lnTo>
                  <a:pt x="133" y="32"/>
                </a:lnTo>
                <a:lnTo>
                  <a:pt x="133" y="37"/>
                </a:lnTo>
                <a:lnTo>
                  <a:pt x="136" y="40"/>
                </a:lnTo>
                <a:lnTo>
                  <a:pt x="136" y="46"/>
                </a:lnTo>
                <a:lnTo>
                  <a:pt x="136" y="49"/>
                </a:lnTo>
                <a:lnTo>
                  <a:pt x="138" y="55"/>
                </a:lnTo>
                <a:lnTo>
                  <a:pt x="138" y="58"/>
                </a:lnTo>
                <a:lnTo>
                  <a:pt x="138" y="63"/>
                </a:lnTo>
                <a:lnTo>
                  <a:pt x="138" y="69"/>
                </a:lnTo>
                <a:lnTo>
                  <a:pt x="138" y="72"/>
                </a:lnTo>
                <a:lnTo>
                  <a:pt x="138" y="75"/>
                </a:lnTo>
                <a:lnTo>
                  <a:pt x="138" y="81"/>
                </a:lnTo>
                <a:lnTo>
                  <a:pt x="138" y="83"/>
                </a:lnTo>
                <a:lnTo>
                  <a:pt x="138" y="86"/>
                </a:lnTo>
                <a:lnTo>
                  <a:pt x="138" y="89"/>
                </a:lnTo>
                <a:lnTo>
                  <a:pt x="138" y="92"/>
                </a:lnTo>
                <a:lnTo>
                  <a:pt x="136" y="95"/>
                </a:lnTo>
                <a:lnTo>
                  <a:pt x="136" y="98"/>
                </a:lnTo>
                <a:lnTo>
                  <a:pt x="136" y="104"/>
                </a:lnTo>
                <a:lnTo>
                  <a:pt x="136" y="106"/>
                </a:lnTo>
                <a:lnTo>
                  <a:pt x="136" y="109"/>
                </a:lnTo>
                <a:lnTo>
                  <a:pt x="133" y="112"/>
                </a:lnTo>
                <a:lnTo>
                  <a:pt x="133" y="115"/>
                </a:lnTo>
                <a:lnTo>
                  <a:pt x="133" y="118"/>
                </a:lnTo>
                <a:lnTo>
                  <a:pt x="130" y="121"/>
                </a:lnTo>
                <a:lnTo>
                  <a:pt x="130" y="124"/>
                </a:lnTo>
                <a:lnTo>
                  <a:pt x="127" y="132"/>
                </a:lnTo>
                <a:lnTo>
                  <a:pt x="124" y="138"/>
                </a:lnTo>
                <a:lnTo>
                  <a:pt x="121" y="144"/>
                </a:lnTo>
                <a:lnTo>
                  <a:pt x="118" y="150"/>
                </a:lnTo>
                <a:lnTo>
                  <a:pt x="112" y="155"/>
                </a:lnTo>
                <a:lnTo>
                  <a:pt x="109" y="161"/>
                </a:lnTo>
                <a:lnTo>
                  <a:pt x="106" y="164"/>
                </a:lnTo>
                <a:lnTo>
                  <a:pt x="100" y="170"/>
                </a:lnTo>
                <a:lnTo>
                  <a:pt x="94" y="173"/>
                </a:lnTo>
                <a:lnTo>
                  <a:pt x="91" y="178"/>
                </a:lnTo>
                <a:lnTo>
                  <a:pt x="86" y="181"/>
                </a:lnTo>
                <a:lnTo>
                  <a:pt x="80" y="184"/>
                </a:lnTo>
                <a:lnTo>
                  <a:pt x="74" y="184"/>
                </a:lnTo>
                <a:lnTo>
                  <a:pt x="68" y="187"/>
                </a:lnTo>
                <a:lnTo>
                  <a:pt x="62" y="187"/>
                </a:lnTo>
                <a:lnTo>
                  <a:pt x="56" y="187"/>
                </a:lnTo>
                <a:lnTo>
                  <a:pt x="50" y="187"/>
                </a:lnTo>
                <a:lnTo>
                  <a:pt x="47" y="187"/>
                </a:lnTo>
                <a:lnTo>
                  <a:pt x="44" y="187"/>
                </a:lnTo>
                <a:lnTo>
                  <a:pt x="41" y="187"/>
                </a:lnTo>
                <a:lnTo>
                  <a:pt x="38" y="184"/>
                </a:lnTo>
                <a:lnTo>
                  <a:pt x="35" y="184"/>
                </a:lnTo>
                <a:lnTo>
                  <a:pt x="33" y="181"/>
                </a:lnTo>
                <a:lnTo>
                  <a:pt x="30" y="181"/>
                </a:lnTo>
                <a:lnTo>
                  <a:pt x="30" y="178"/>
                </a:lnTo>
                <a:lnTo>
                  <a:pt x="27" y="178"/>
                </a:lnTo>
                <a:lnTo>
                  <a:pt x="24" y="178"/>
                </a:lnTo>
                <a:lnTo>
                  <a:pt x="21" y="176"/>
                </a:lnTo>
                <a:lnTo>
                  <a:pt x="21" y="173"/>
                </a:lnTo>
                <a:lnTo>
                  <a:pt x="18" y="173"/>
                </a:lnTo>
                <a:lnTo>
                  <a:pt x="15" y="170"/>
                </a:lnTo>
                <a:lnTo>
                  <a:pt x="15" y="167"/>
                </a:lnTo>
                <a:lnTo>
                  <a:pt x="12" y="164"/>
                </a:lnTo>
                <a:lnTo>
                  <a:pt x="12" y="161"/>
                </a:lnTo>
                <a:lnTo>
                  <a:pt x="9" y="158"/>
                </a:lnTo>
                <a:lnTo>
                  <a:pt x="9" y="155"/>
                </a:lnTo>
                <a:lnTo>
                  <a:pt x="9" y="153"/>
                </a:lnTo>
                <a:lnTo>
                  <a:pt x="6" y="150"/>
                </a:lnTo>
                <a:lnTo>
                  <a:pt x="6" y="147"/>
                </a:lnTo>
                <a:lnTo>
                  <a:pt x="6" y="144"/>
                </a:lnTo>
                <a:lnTo>
                  <a:pt x="3" y="141"/>
                </a:lnTo>
                <a:lnTo>
                  <a:pt x="3" y="138"/>
                </a:lnTo>
                <a:lnTo>
                  <a:pt x="3" y="132"/>
                </a:lnTo>
                <a:lnTo>
                  <a:pt x="3" y="130"/>
                </a:lnTo>
                <a:lnTo>
                  <a:pt x="3" y="127"/>
                </a:lnTo>
                <a:lnTo>
                  <a:pt x="3" y="124"/>
                </a:lnTo>
                <a:lnTo>
                  <a:pt x="0" y="121"/>
                </a:lnTo>
                <a:lnTo>
                  <a:pt x="0" y="118"/>
                </a:lnTo>
                <a:lnTo>
                  <a:pt x="0" y="115"/>
                </a:lnTo>
                <a:lnTo>
                  <a:pt x="0" y="115"/>
                </a:lnTo>
                <a:lnTo>
                  <a:pt x="0" y="115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09"/>
                </a:lnTo>
                <a:lnTo>
                  <a:pt x="3" y="10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0" name="Freeform 199">
            <a:extLst>
              <a:ext uri="{FF2B5EF4-FFF2-40B4-BE49-F238E27FC236}">
                <a16:creationId xmlns:a16="http://schemas.microsoft.com/office/drawing/2014/main" id="{00000000-0008-0000-0100-0000C8000000}"/>
              </a:ext>
            </a:extLst>
          </xdr:cNvPr>
          <xdr:cNvSpPr/>
        </xdr:nvSpPr>
        <xdr:spPr>
          <a:xfrm>
            <a:off x="10770" y="10073"/>
            <a:ext cx="151" cy="181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95" y="109"/>
              </a:cxn>
              <a:cxn ang="0">
                <a:pos x="95" y="98"/>
              </a:cxn>
              <a:cxn ang="0">
                <a:pos x="95" y="89"/>
              </a:cxn>
              <a:cxn ang="0">
                <a:pos x="95" y="80"/>
              </a:cxn>
              <a:cxn ang="0">
                <a:pos x="98" y="72"/>
              </a:cxn>
              <a:cxn ang="0">
                <a:pos x="98" y="63"/>
              </a:cxn>
              <a:cxn ang="0">
                <a:pos x="98" y="57"/>
              </a:cxn>
              <a:cxn ang="0">
                <a:pos x="98" y="55"/>
              </a:cxn>
              <a:cxn ang="0">
                <a:pos x="98" y="49"/>
              </a:cxn>
              <a:cxn ang="0">
                <a:pos x="101" y="43"/>
              </a:cxn>
              <a:cxn ang="0">
                <a:pos x="101" y="37"/>
              </a:cxn>
              <a:cxn ang="0">
                <a:pos x="101" y="31"/>
              </a:cxn>
              <a:cxn ang="0">
                <a:pos x="103" y="26"/>
              </a:cxn>
              <a:cxn ang="0">
                <a:pos x="103" y="20"/>
              </a:cxn>
              <a:cxn ang="0">
                <a:pos x="106" y="11"/>
              </a:cxn>
              <a:cxn ang="0">
                <a:pos x="106" y="6"/>
              </a:cxn>
              <a:cxn ang="0">
                <a:pos x="106" y="0"/>
              </a:cxn>
              <a:cxn ang="0">
                <a:pos x="124" y="181"/>
              </a:cxn>
              <a:cxn ang="0">
                <a:pos x="59" y="78"/>
              </a:cxn>
              <a:cxn ang="0">
                <a:pos x="56" y="86"/>
              </a:cxn>
              <a:cxn ang="0">
                <a:pos x="56" y="95"/>
              </a:cxn>
              <a:cxn ang="0">
                <a:pos x="56" y="101"/>
              </a:cxn>
              <a:cxn ang="0">
                <a:pos x="56" y="106"/>
              </a:cxn>
              <a:cxn ang="0">
                <a:pos x="56" y="115"/>
              </a:cxn>
              <a:cxn ang="0">
                <a:pos x="53" y="118"/>
              </a:cxn>
              <a:cxn ang="0">
                <a:pos x="53" y="124"/>
              </a:cxn>
              <a:cxn ang="0">
                <a:pos x="53" y="129"/>
              </a:cxn>
              <a:cxn ang="0">
                <a:pos x="53" y="135"/>
              </a:cxn>
              <a:cxn ang="0">
                <a:pos x="50" y="141"/>
              </a:cxn>
              <a:cxn ang="0">
                <a:pos x="50" y="147"/>
              </a:cxn>
              <a:cxn ang="0">
                <a:pos x="50" y="152"/>
              </a:cxn>
              <a:cxn ang="0">
                <a:pos x="48" y="161"/>
              </a:cxn>
              <a:cxn ang="0">
                <a:pos x="48" y="167"/>
              </a:cxn>
              <a:cxn ang="0">
                <a:pos x="48" y="173"/>
              </a:cxn>
              <a:cxn ang="0">
                <a:pos x="48" y="181"/>
              </a:cxn>
            </a:cxnLst>
            <a:rect l="0" t="0" r="r" b="b"/>
            <a:pathLst>
              <a:path w="151" h="181">
                <a:moveTo>
                  <a:pt x="0" y="181"/>
                </a:moveTo>
                <a:lnTo>
                  <a:pt x="27" y="0"/>
                </a:lnTo>
                <a:lnTo>
                  <a:pt x="74" y="0"/>
                </a:lnTo>
                <a:lnTo>
                  <a:pt x="95" y="109"/>
                </a:lnTo>
                <a:lnTo>
                  <a:pt x="95" y="103"/>
                </a:lnTo>
                <a:lnTo>
                  <a:pt x="95" y="98"/>
                </a:lnTo>
                <a:lnTo>
                  <a:pt x="95" y="92"/>
                </a:lnTo>
                <a:lnTo>
                  <a:pt x="95" y="89"/>
                </a:lnTo>
                <a:lnTo>
                  <a:pt x="95" y="83"/>
                </a:lnTo>
                <a:lnTo>
                  <a:pt x="95" y="80"/>
                </a:lnTo>
                <a:lnTo>
                  <a:pt x="98" y="75"/>
                </a:lnTo>
                <a:lnTo>
                  <a:pt x="98" y="72"/>
                </a:lnTo>
                <a:lnTo>
                  <a:pt x="98" y="69"/>
                </a:lnTo>
                <a:lnTo>
                  <a:pt x="98" y="63"/>
                </a:lnTo>
                <a:lnTo>
                  <a:pt x="98" y="63"/>
                </a:lnTo>
                <a:lnTo>
                  <a:pt x="98" y="57"/>
                </a:lnTo>
                <a:lnTo>
                  <a:pt x="98" y="55"/>
                </a:lnTo>
                <a:lnTo>
                  <a:pt x="98" y="55"/>
                </a:lnTo>
                <a:lnTo>
                  <a:pt x="98" y="52"/>
                </a:lnTo>
                <a:lnTo>
                  <a:pt x="98" y="49"/>
                </a:lnTo>
                <a:lnTo>
                  <a:pt x="98" y="46"/>
                </a:lnTo>
                <a:lnTo>
                  <a:pt x="101" y="43"/>
                </a:lnTo>
                <a:lnTo>
                  <a:pt x="101" y="40"/>
                </a:lnTo>
                <a:lnTo>
                  <a:pt x="101" y="37"/>
                </a:lnTo>
                <a:lnTo>
                  <a:pt x="101" y="34"/>
                </a:lnTo>
                <a:lnTo>
                  <a:pt x="101" y="31"/>
                </a:lnTo>
                <a:lnTo>
                  <a:pt x="103" y="29"/>
                </a:lnTo>
                <a:lnTo>
                  <a:pt x="103" y="26"/>
                </a:lnTo>
                <a:lnTo>
                  <a:pt x="103" y="23"/>
                </a:lnTo>
                <a:lnTo>
                  <a:pt x="103" y="20"/>
                </a:lnTo>
                <a:lnTo>
                  <a:pt x="103" y="14"/>
                </a:lnTo>
                <a:lnTo>
                  <a:pt x="106" y="11"/>
                </a:lnTo>
                <a:lnTo>
                  <a:pt x="106" y="8"/>
                </a:lnTo>
                <a:lnTo>
                  <a:pt x="106" y="6"/>
                </a:lnTo>
                <a:lnTo>
                  <a:pt x="106" y="3"/>
                </a:lnTo>
                <a:lnTo>
                  <a:pt x="106" y="0"/>
                </a:lnTo>
                <a:lnTo>
                  <a:pt x="151" y="0"/>
                </a:lnTo>
                <a:lnTo>
                  <a:pt x="124" y="181"/>
                </a:lnTo>
                <a:lnTo>
                  <a:pt x="77" y="181"/>
                </a:lnTo>
                <a:lnTo>
                  <a:pt x="59" y="78"/>
                </a:lnTo>
                <a:lnTo>
                  <a:pt x="59" y="80"/>
                </a:lnTo>
                <a:lnTo>
                  <a:pt x="56" y="86"/>
                </a:lnTo>
                <a:lnTo>
                  <a:pt x="56" y="89"/>
                </a:lnTo>
                <a:lnTo>
                  <a:pt x="56" y="95"/>
                </a:lnTo>
                <a:lnTo>
                  <a:pt x="56" y="98"/>
                </a:lnTo>
                <a:lnTo>
                  <a:pt x="56" y="101"/>
                </a:lnTo>
                <a:lnTo>
                  <a:pt x="56" y="103"/>
                </a:lnTo>
                <a:lnTo>
                  <a:pt x="56" y="106"/>
                </a:lnTo>
                <a:lnTo>
                  <a:pt x="56" y="109"/>
                </a:lnTo>
                <a:lnTo>
                  <a:pt x="56" y="115"/>
                </a:lnTo>
                <a:lnTo>
                  <a:pt x="56" y="115"/>
                </a:lnTo>
                <a:lnTo>
                  <a:pt x="53" y="118"/>
                </a:lnTo>
                <a:lnTo>
                  <a:pt x="53" y="121"/>
                </a:lnTo>
                <a:lnTo>
                  <a:pt x="53" y="124"/>
                </a:lnTo>
                <a:lnTo>
                  <a:pt x="53" y="127"/>
                </a:lnTo>
                <a:lnTo>
                  <a:pt x="53" y="129"/>
                </a:lnTo>
                <a:lnTo>
                  <a:pt x="53" y="132"/>
                </a:lnTo>
                <a:lnTo>
                  <a:pt x="53" y="135"/>
                </a:lnTo>
                <a:lnTo>
                  <a:pt x="53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7"/>
                </a:lnTo>
                <a:lnTo>
                  <a:pt x="50" y="150"/>
                </a:lnTo>
                <a:lnTo>
                  <a:pt x="50" y="152"/>
                </a:lnTo>
                <a:lnTo>
                  <a:pt x="50" y="155"/>
                </a:lnTo>
                <a:lnTo>
                  <a:pt x="48" y="161"/>
                </a:lnTo>
                <a:lnTo>
                  <a:pt x="48" y="164"/>
                </a:lnTo>
                <a:lnTo>
                  <a:pt x="48" y="167"/>
                </a:lnTo>
                <a:lnTo>
                  <a:pt x="48" y="170"/>
                </a:lnTo>
                <a:lnTo>
                  <a:pt x="48" y="173"/>
                </a:lnTo>
                <a:lnTo>
                  <a:pt x="48" y="175"/>
                </a:lnTo>
                <a:lnTo>
                  <a:pt x="48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1" name="Freeform 200">
            <a:extLst>
              <a:ext uri="{FF2B5EF4-FFF2-40B4-BE49-F238E27FC236}">
                <a16:creationId xmlns:a16="http://schemas.microsoft.com/office/drawing/2014/main" id="{00000000-0008-0000-0100-0000C9000000}"/>
              </a:ext>
            </a:extLst>
          </xdr:cNvPr>
          <xdr:cNvSpPr/>
        </xdr:nvSpPr>
        <xdr:spPr>
          <a:xfrm>
            <a:off x="10038" y="10061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9" y="12"/>
              </a:cxn>
              <a:cxn ang="0">
                <a:pos x="0" y="190"/>
              </a:cxn>
              <a:cxn ang="0">
                <a:pos x="29" y="196"/>
              </a:cxn>
              <a:cxn ang="0">
                <a:pos x="56" y="18"/>
              </a:cxn>
              <a:cxn ang="0">
                <a:pos x="41" y="29"/>
              </a:cxn>
              <a:cxn ang="0">
                <a:pos x="41" y="0"/>
              </a:cxn>
              <a:cxn ang="0">
                <a:pos x="32" y="0"/>
              </a:cxn>
              <a:cxn ang="0">
                <a:pos x="29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9" y="12"/>
                </a:lnTo>
                <a:lnTo>
                  <a:pt x="0" y="190"/>
                </a:lnTo>
                <a:lnTo>
                  <a:pt x="29" y="196"/>
                </a:lnTo>
                <a:lnTo>
                  <a:pt x="56" y="18"/>
                </a:lnTo>
                <a:lnTo>
                  <a:pt x="41" y="29"/>
                </a:lnTo>
                <a:lnTo>
                  <a:pt x="41" y="0"/>
                </a:lnTo>
                <a:lnTo>
                  <a:pt x="32" y="0"/>
                </a:lnTo>
                <a:lnTo>
                  <a:pt x="29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2" name="Freeform 201">
            <a:extLst>
              <a:ext uri="{FF2B5EF4-FFF2-40B4-BE49-F238E27FC236}">
                <a16:creationId xmlns:a16="http://schemas.microsoft.com/office/drawing/2014/main" id="{00000000-0008-0000-0100-0000CA000000}"/>
              </a:ext>
            </a:extLst>
          </xdr:cNvPr>
          <xdr:cNvSpPr/>
        </xdr:nvSpPr>
        <xdr:spPr>
          <a:xfrm>
            <a:off x="10082" y="10061"/>
            <a:ext cx="38" cy="29"/>
          </a:xfrm>
          <a:custGeom>
            <a:avLst/>
            <a:gdLst/>
            <a:ahLst/>
            <a:cxnLst>
              <a:cxn ang="0">
                <a:pos x="38" y="0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38" y="0"/>
              </a:cxn>
            </a:cxnLst>
            <a:rect l="0" t="0" r="r" b="b"/>
            <a:pathLst>
              <a:path w="38" h="29">
                <a:moveTo>
                  <a:pt x="38" y="0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3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3" name="Freeform 202">
            <a:extLst>
              <a:ext uri="{FF2B5EF4-FFF2-40B4-BE49-F238E27FC236}">
                <a16:creationId xmlns:a16="http://schemas.microsoft.com/office/drawing/2014/main" id="{00000000-0008-0000-0100-0000CB000000}"/>
              </a:ext>
            </a:extLst>
          </xdr:cNvPr>
          <xdr:cNvSpPr/>
        </xdr:nvSpPr>
        <xdr:spPr>
          <a:xfrm>
            <a:off x="10120" y="10061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8" y="6"/>
              </a:cxn>
              <a:cxn ang="0">
                <a:pos x="33" y="3"/>
              </a:cxn>
              <a:cxn ang="0">
                <a:pos x="27" y="3"/>
              </a:cxn>
              <a:cxn ang="0">
                <a:pos x="21" y="0"/>
              </a:cxn>
              <a:cxn ang="0">
                <a:pos x="18" y="0"/>
              </a:cxn>
              <a:cxn ang="0">
                <a:pos x="12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  <a:cxn ang="0">
                <a:pos x="6" y="26"/>
              </a:cxn>
              <a:cxn ang="0">
                <a:pos x="9" y="26"/>
              </a:cxn>
              <a:cxn ang="0">
                <a:pos x="12" y="29"/>
              </a:cxn>
              <a:cxn ang="0">
                <a:pos x="18" y="29"/>
              </a:cxn>
              <a:cxn ang="0">
                <a:pos x="21" y="29"/>
              </a:cxn>
              <a:cxn ang="0">
                <a:pos x="24" y="32"/>
              </a:cxn>
              <a:cxn ang="0">
                <a:pos x="27" y="32"/>
              </a:cxn>
              <a:cxn ang="0">
                <a:pos x="30" y="32"/>
              </a:cxn>
              <a:cxn ang="0">
                <a:pos x="30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8" y="6"/>
                </a:lnTo>
                <a:lnTo>
                  <a:pt x="33" y="3"/>
                </a:lnTo>
                <a:lnTo>
                  <a:pt x="27" y="3"/>
                </a:lnTo>
                <a:lnTo>
                  <a:pt x="21" y="0"/>
                </a:lnTo>
                <a:lnTo>
                  <a:pt x="18" y="0"/>
                </a:lnTo>
                <a:lnTo>
                  <a:pt x="12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lnTo>
                  <a:pt x="6" y="26"/>
                </a:lnTo>
                <a:lnTo>
                  <a:pt x="9" y="26"/>
                </a:lnTo>
                <a:lnTo>
                  <a:pt x="12" y="29"/>
                </a:lnTo>
                <a:lnTo>
                  <a:pt x="18" y="29"/>
                </a:lnTo>
                <a:lnTo>
                  <a:pt x="21" y="29"/>
                </a:lnTo>
                <a:lnTo>
                  <a:pt x="24" y="32"/>
                </a:lnTo>
                <a:lnTo>
                  <a:pt x="27" y="32"/>
                </a:lnTo>
                <a:lnTo>
                  <a:pt x="30" y="32"/>
                </a:lnTo>
                <a:lnTo>
                  <a:pt x="30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4" name="Freeform 203">
            <a:extLst>
              <a:ext uri="{FF2B5EF4-FFF2-40B4-BE49-F238E27FC236}">
                <a16:creationId xmlns:a16="http://schemas.microsoft.com/office/drawing/2014/main" id="{00000000-0008-0000-0100-0000CC000000}"/>
              </a:ext>
            </a:extLst>
          </xdr:cNvPr>
          <xdr:cNvSpPr/>
        </xdr:nvSpPr>
        <xdr:spPr>
          <a:xfrm>
            <a:off x="10150" y="10070"/>
            <a:ext cx="44" cy="43"/>
          </a:xfrm>
          <a:custGeom>
            <a:avLst/>
            <a:gdLst/>
            <a:ahLst/>
            <a:cxnLst>
              <a:cxn ang="0">
                <a:pos x="44" y="29"/>
              </a:cxn>
              <a:cxn ang="0">
                <a:pos x="44" y="29"/>
              </a:cxn>
              <a:cxn ang="0">
                <a:pos x="41" y="23"/>
              </a:cxn>
              <a:cxn ang="0">
                <a:pos x="38" y="20"/>
              </a:cxn>
              <a:cxn ang="0">
                <a:pos x="35" y="14"/>
              </a:cxn>
              <a:cxn ang="0">
                <a:pos x="29" y="11"/>
              </a:cxn>
              <a:cxn ang="0">
                <a:pos x="26" y="9"/>
              </a:cxn>
              <a:cxn ang="0">
                <a:pos x="23" y="3"/>
              </a:cxn>
              <a:cxn ang="0">
                <a:pos x="17" y="0"/>
              </a:cxn>
              <a:cxn ang="0">
                <a:pos x="14" y="0"/>
              </a:cxn>
              <a:cxn ang="0">
                <a:pos x="0" y="23"/>
              </a:cxn>
              <a:cxn ang="0">
                <a:pos x="6" y="26"/>
              </a:cxn>
              <a:cxn ang="0">
                <a:pos x="6" y="29"/>
              </a:cxn>
              <a:cxn ang="0">
                <a:pos x="8" y="29"/>
              </a:cxn>
              <a:cxn ang="0">
                <a:pos x="11" y="32"/>
              </a:cxn>
              <a:cxn ang="0">
                <a:pos x="14" y="32"/>
              </a:cxn>
              <a:cxn ang="0">
                <a:pos x="14" y="34"/>
              </a:cxn>
              <a:cxn ang="0">
                <a:pos x="17" y="40"/>
              </a:cxn>
              <a:cxn ang="0">
                <a:pos x="17" y="40"/>
              </a:cxn>
              <a:cxn ang="0">
                <a:pos x="17" y="43"/>
              </a:cxn>
              <a:cxn ang="0">
                <a:pos x="44" y="29"/>
              </a:cxn>
            </a:cxnLst>
            <a:rect l="0" t="0" r="r" b="b"/>
            <a:pathLst>
              <a:path w="44" h="43">
                <a:moveTo>
                  <a:pt x="44" y="29"/>
                </a:moveTo>
                <a:lnTo>
                  <a:pt x="44" y="29"/>
                </a:lnTo>
                <a:lnTo>
                  <a:pt x="41" y="23"/>
                </a:lnTo>
                <a:lnTo>
                  <a:pt x="38" y="20"/>
                </a:lnTo>
                <a:lnTo>
                  <a:pt x="35" y="14"/>
                </a:lnTo>
                <a:lnTo>
                  <a:pt x="29" y="11"/>
                </a:lnTo>
                <a:lnTo>
                  <a:pt x="26" y="9"/>
                </a:lnTo>
                <a:lnTo>
                  <a:pt x="23" y="3"/>
                </a:lnTo>
                <a:lnTo>
                  <a:pt x="17" y="0"/>
                </a:lnTo>
                <a:lnTo>
                  <a:pt x="14" y="0"/>
                </a:lnTo>
                <a:lnTo>
                  <a:pt x="0" y="23"/>
                </a:lnTo>
                <a:lnTo>
                  <a:pt x="6" y="26"/>
                </a:lnTo>
                <a:lnTo>
                  <a:pt x="6" y="29"/>
                </a:lnTo>
                <a:lnTo>
                  <a:pt x="8" y="29"/>
                </a:lnTo>
                <a:lnTo>
                  <a:pt x="11" y="32"/>
                </a:lnTo>
                <a:lnTo>
                  <a:pt x="14" y="32"/>
                </a:lnTo>
                <a:lnTo>
                  <a:pt x="14" y="34"/>
                </a:lnTo>
                <a:lnTo>
                  <a:pt x="17" y="40"/>
                </a:lnTo>
                <a:lnTo>
                  <a:pt x="17" y="40"/>
                </a:lnTo>
                <a:lnTo>
                  <a:pt x="17" y="43"/>
                </a:lnTo>
                <a:lnTo>
                  <a:pt x="44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5" name="Freeform 204">
            <a:extLst>
              <a:ext uri="{FF2B5EF4-FFF2-40B4-BE49-F238E27FC236}">
                <a16:creationId xmlns:a16="http://schemas.microsoft.com/office/drawing/2014/main" id="{00000000-0008-0000-0100-0000CD000000}"/>
              </a:ext>
            </a:extLst>
          </xdr:cNvPr>
          <xdr:cNvSpPr/>
        </xdr:nvSpPr>
        <xdr:spPr>
          <a:xfrm>
            <a:off x="10167" y="10099"/>
            <a:ext cx="39" cy="46"/>
          </a:xfrm>
          <a:custGeom>
            <a:avLst/>
            <a:gdLst/>
            <a:ahLst/>
            <a:cxnLst>
              <a:cxn ang="0">
                <a:pos x="39" y="46"/>
              </a:cxn>
              <a:cxn ang="0">
                <a:pos x="39" y="46"/>
              </a:cxn>
              <a:cxn ang="0">
                <a:pos x="39" y="40"/>
              </a:cxn>
              <a:cxn ang="0">
                <a:pos x="36" y="34"/>
              </a:cxn>
              <a:cxn ang="0">
                <a:pos x="36" y="29"/>
              </a:cxn>
              <a:cxn ang="0">
                <a:pos x="36" y="23"/>
              </a:cxn>
              <a:cxn ang="0">
                <a:pos x="33" y="14"/>
              </a:cxn>
              <a:cxn ang="0">
                <a:pos x="30" y="11"/>
              </a:cxn>
              <a:cxn ang="0">
                <a:pos x="30" y="5"/>
              </a:cxn>
              <a:cxn ang="0">
                <a:pos x="27" y="0"/>
              </a:cxn>
              <a:cxn ang="0">
                <a:pos x="0" y="11"/>
              </a:cxn>
              <a:cxn ang="0">
                <a:pos x="3" y="17"/>
              </a:cxn>
              <a:cxn ang="0">
                <a:pos x="6" y="20"/>
              </a:cxn>
              <a:cxn ang="0">
                <a:pos x="6" y="26"/>
              </a:cxn>
              <a:cxn ang="0">
                <a:pos x="6" y="29"/>
              </a:cxn>
              <a:cxn ang="0">
                <a:pos x="9" y="31"/>
              </a:cxn>
              <a:cxn ang="0">
                <a:pos x="9" y="37"/>
              </a:cxn>
              <a:cxn ang="0">
                <a:pos x="9" y="40"/>
              </a:cxn>
              <a:cxn ang="0">
                <a:pos x="9" y="46"/>
              </a:cxn>
              <a:cxn ang="0">
                <a:pos x="9" y="46"/>
              </a:cxn>
              <a:cxn ang="0">
                <a:pos x="39" y="46"/>
              </a:cxn>
            </a:cxnLst>
            <a:rect l="0" t="0" r="r" b="b"/>
            <a:pathLst>
              <a:path w="39" h="46">
                <a:moveTo>
                  <a:pt x="39" y="46"/>
                </a:moveTo>
                <a:lnTo>
                  <a:pt x="39" y="46"/>
                </a:lnTo>
                <a:lnTo>
                  <a:pt x="39" y="40"/>
                </a:lnTo>
                <a:lnTo>
                  <a:pt x="36" y="34"/>
                </a:lnTo>
                <a:lnTo>
                  <a:pt x="36" y="29"/>
                </a:lnTo>
                <a:lnTo>
                  <a:pt x="36" y="23"/>
                </a:lnTo>
                <a:lnTo>
                  <a:pt x="33" y="14"/>
                </a:lnTo>
                <a:lnTo>
                  <a:pt x="30" y="11"/>
                </a:lnTo>
                <a:lnTo>
                  <a:pt x="30" y="5"/>
                </a:lnTo>
                <a:lnTo>
                  <a:pt x="27" y="0"/>
                </a:lnTo>
                <a:lnTo>
                  <a:pt x="0" y="11"/>
                </a:lnTo>
                <a:lnTo>
                  <a:pt x="3" y="17"/>
                </a:lnTo>
                <a:lnTo>
                  <a:pt x="6" y="20"/>
                </a:lnTo>
                <a:lnTo>
                  <a:pt x="6" y="26"/>
                </a:lnTo>
                <a:lnTo>
                  <a:pt x="6" y="29"/>
                </a:lnTo>
                <a:lnTo>
                  <a:pt x="9" y="31"/>
                </a:lnTo>
                <a:lnTo>
                  <a:pt x="9" y="37"/>
                </a:lnTo>
                <a:lnTo>
                  <a:pt x="9" y="40"/>
                </a:lnTo>
                <a:lnTo>
                  <a:pt x="9" y="46"/>
                </a:lnTo>
                <a:lnTo>
                  <a:pt x="9" y="46"/>
                </a:lnTo>
                <a:lnTo>
                  <a:pt x="39" y="4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6" name="Freeform 205">
            <a:extLst>
              <a:ext uri="{FF2B5EF4-FFF2-40B4-BE49-F238E27FC236}">
                <a16:creationId xmlns:a16="http://schemas.microsoft.com/office/drawing/2014/main" id="{00000000-0008-0000-0100-0000CE000000}"/>
              </a:ext>
            </a:extLst>
          </xdr:cNvPr>
          <xdr:cNvSpPr/>
        </xdr:nvSpPr>
        <xdr:spPr>
          <a:xfrm>
            <a:off x="10167" y="10145"/>
            <a:ext cx="39" cy="57"/>
          </a:xfrm>
          <a:custGeom>
            <a:avLst/>
            <a:gdLst/>
            <a:ahLst/>
            <a:cxnLst>
              <a:cxn ang="0">
                <a:pos x="27" y="57"/>
              </a:cxn>
              <a:cxn ang="0">
                <a:pos x="27" y="57"/>
              </a:cxn>
              <a:cxn ang="0">
                <a:pos x="27" y="55"/>
              </a:cxn>
              <a:cxn ang="0">
                <a:pos x="30" y="49"/>
              </a:cxn>
              <a:cxn ang="0">
                <a:pos x="30" y="49"/>
              </a:cxn>
              <a:cxn ang="0">
                <a:pos x="30" y="43"/>
              </a:cxn>
              <a:cxn ang="0">
                <a:pos x="30" y="40"/>
              </a:cxn>
              <a:cxn ang="0">
                <a:pos x="33" y="37"/>
              </a:cxn>
              <a:cxn ang="0">
                <a:pos x="33" y="34"/>
              </a:cxn>
              <a:cxn ang="0">
                <a:pos x="33" y="29"/>
              </a:cxn>
              <a:cxn ang="0">
                <a:pos x="36" y="26"/>
              </a:cxn>
              <a:cxn ang="0">
                <a:pos x="36" y="23"/>
              </a:cxn>
              <a:cxn ang="0">
                <a:pos x="36" y="20"/>
              </a:cxn>
              <a:cxn ang="0">
                <a:pos x="36" y="17"/>
              </a:cxn>
              <a:cxn ang="0">
                <a:pos x="36" y="11"/>
              </a:cxn>
              <a:cxn ang="0">
                <a:pos x="36" y="6"/>
              </a:cxn>
              <a:cxn ang="0">
                <a:pos x="39" y="3"/>
              </a:cxn>
              <a:cxn ang="0">
                <a:pos x="3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9" y="11"/>
              </a:cxn>
              <a:cxn ang="0">
                <a:pos x="9" y="11"/>
              </a:cxn>
              <a:cxn ang="0">
                <a:pos x="9" y="14"/>
              </a:cxn>
              <a:cxn ang="0">
                <a:pos x="6" y="17"/>
              </a:cxn>
              <a:cxn ang="0">
                <a:pos x="6" y="20"/>
              </a:cxn>
              <a:cxn ang="0">
                <a:pos x="6" y="23"/>
              </a:cxn>
              <a:cxn ang="0">
                <a:pos x="6" y="29"/>
              </a:cxn>
              <a:cxn ang="0">
                <a:pos x="6" y="31"/>
              </a:cxn>
              <a:cxn ang="0">
                <a:pos x="3" y="34"/>
              </a:cxn>
              <a:cxn ang="0">
                <a:pos x="3" y="37"/>
              </a:cxn>
              <a:cxn ang="0">
                <a:pos x="3" y="37"/>
              </a:cxn>
              <a:cxn ang="0">
                <a:pos x="0" y="43"/>
              </a:cxn>
              <a:cxn ang="0">
                <a:pos x="0" y="43"/>
              </a:cxn>
              <a:cxn ang="0">
                <a:pos x="0" y="49"/>
              </a:cxn>
              <a:cxn ang="0">
                <a:pos x="27" y="57"/>
              </a:cxn>
            </a:cxnLst>
            <a:rect l="0" t="0" r="r" b="b"/>
            <a:pathLst>
              <a:path w="39" h="57">
                <a:moveTo>
                  <a:pt x="27" y="57"/>
                </a:moveTo>
                <a:lnTo>
                  <a:pt x="27" y="57"/>
                </a:lnTo>
                <a:lnTo>
                  <a:pt x="27" y="55"/>
                </a:lnTo>
                <a:lnTo>
                  <a:pt x="30" y="49"/>
                </a:lnTo>
                <a:lnTo>
                  <a:pt x="30" y="49"/>
                </a:lnTo>
                <a:lnTo>
                  <a:pt x="30" y="43"/>
                </a:lnTo>
                <a:lnTo>
                  <a:pt x="30" y="40"/>
                </a:lnTo>
                <a:lnTo>
                  <a:pt x="33" y="37"/>
                </a:lnTo>
                <a:lnTo>
                  <a:pt x="33" y="34"/>
                </a:lnTo>
                <a:lnTo>
                  <a:pt x="33" y="29"/>
                </a:lnTo>
                <a:lnTo>
                  <a:pt x="36" y="26"/>
                </a:lnTo>
                <a:lnTo>
                  <a:pt x="36" y="23"/>
                </a:lnTo>
                <a:lnTo>
                  <a:pt x="36" y="20"/>
                </a:lnTo>
                <a:lnTo>
                  <a:pt x="36" y="17"/>
                </a:lnTo>
                <a:lnTo>
                  <a:pt x="36" y="11"/>
                </a:lnTo>
                <a:lnTo>
                  <a:pt x="36" y="6"/>
                </a:lnTo>
                <a:lnTo>
                  <a:pt x="39" y="3"/>
                </a:lnTo>
                <a:lnTo>
                  <a:pt x="39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9" y="11"/>
                </a:lnTo>
                <a:lnTo>
                  <a:pt x="9" y="11"/>
                </a:lnTo>
                <a:lnTo>
                  <a:pt x="9" y="14"/>
                </a:lnTo>
                <a:lnTo>
                  <a:pt x="6" y="17"/>
                </a:lnTo>
                <a:lnTo>
                  <a:pt x="6" y="20"/>
                </a:lnTo>
                <a:lnTo>
                  <a:pt x="6" y="23"/>
                </a:lnTo>
                <a:lnTo>
                  <a:pt x="6" y="29"/>
                </a:lnTo>
                <a:lnTo>
                  <a:pt x="6" y="31"/>
                </a:lnTo>
                <a:lnTo>
                  <a:pt x="3" y="34"/>
                </a:lnTo>
                <a:lnTo>
                  <a:pt x="3" y="37"/>
                </a:lnTo>
                <a:lnTo>
                  <a:pt x="3" y="37"/>
                </a:lnTo>
                <a:lnTo>
                  <a:pt x="0" y="43"/>
                </a:lnTo>
                <a:lnTo>
                  <a:pt x="0" y="43"/>
                </a:lnTo>
                <a:lnTo>
                  <a:pt x="0" y="49"/>
                </a:lnTo>
                <a:lnTo>
                  <a:pt x="27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7" name="Freeform 206">
            <a:extLst>
              <a:ext uri="{FF2B5EF4-FFF2-40B4-BE49-F238E27FC236}">
                <a16:creationId xmlns:a16="http://schemas.microsoft.com/office/drawing/2014/main" id="{00000000-0008-0000-0100-0000CF000000}"/>
              </a:ext>
            </a:extLst>
          </xdr:cNvPr>
          <xdr:cNvSpPr/>
        </xdr:nvSpPr>
        <xdr:spPr>
          <a:xfrm>
            <a:off x="10141" y="10194"/>
            <a:ext cx="50" cy="54"/>
          </a:xfrm>
          <a:custGeom>
            <a:avLst/>
            <a:gdLst/>
            <a:ahLst/>
            <a:cxnLst>
              <a:cxn ang="0">
                <a:pos x="17" y="54"/>
              </a:cxn>
              <a:cxn ang="0">
                <a:pos x="17" y="54"/>
              </a:cxn>
              <a:cxn ang="0">
                <a:pos x="23" y="49"/>
              </a:cxn>
              <a:cxn ang="0">
                <a:pos x="29" y="46"/>
              </a:cxn>
              <a:cxn ang="0">
                <a:pos x="32" y="40"/>
              </a:cxn>
              <a:cxn ang="0">
                <a:pos x="38" y="34"/>
              </a:cxn>
              <a:cxn ang="0">
                <a:pos x="41" y="29"/>
              </a:cxn>
              <a:cxn ang="0">
                <a:pos x="44" y="23"/>
              </a:cxn>
              <a:cxn ang="0">
                <a:pos x="47" y="14"/>
              </a:cxn>
              <a:cxn ang="0">
                <a:pos x="50" y="8"/>
              </a:cxn>
              <a:cxn ang="0">
                <a:pos x="26" y="0"/>
              </a:cxn>
              <a:cxn ang="0">
                <a:pos x="23" y="6"/>
              </a:cxn>
              <a:cxn ang="0">
                <a:pos x="20" y="8"/>
              </a:cxn>
              <a:cxn ang="0">
                <a:pos x="17" y="14"/>
              </a:cxn>
              <a:cxn ang="0">
                <a:pos x="15" y="17"/>
              </a:cxn>
              <a:cxn ang="0">
                <a:pos x="12" y="23"/>
              </a:cxn>
              <a:cxn ang="0">
                <a:pos x="9" y="26"/>
              </a:cxn>
              <a:cxn ang="0">
                <a:pos x="3" y="31"/>
              </a:cxn>
              <a:cxn ang="0">
                <a:pos x="0" y="34"/>
              </a:cxn>
              <a:cxn ang="0">
                <a:pos x="0" y="31"/>
              </a:cxn>
              <a:cxn ang="0">
                <a:pos x="17" y="54"/>
              </a:cxn>
            </a:cxnLst>
            <a:rect l="0" t="0" r="r" b="b"/>
            <a:pathLst>
              <a:path w="50" h="54">
                <a:moveTo>
                  <a:pt x="17" y="54"/>
                </a:moveTo>
                <a:lnTo>
                  <a:pt x="17" y="54"/>
                </a:lnTo>
                <a:lnTo>
                  <a:pt x="23" y="49"/>
                </a:lnTo>
                <a:lnTo>
                  <a:pt x="29" y="46"/>
                </a:lnTo>
                <a:lnTo>
                  <a:pt x="32" y="40"/>
                </a:lnTo>
                <a:lnTo>
                  <a:pt x="38" y="34"/>
                </a:lnTo>
                <a:lnTo>
                  <a:pt x="41" y="29"/>
                </a:lnTo>
                <a:lnTo>
                  <a:pt x="44" y="23"/>
                </a:lnTo>
                <a:lnTo>
                  <a:pt x="47" y="14"/>
                </a:lnTo>
                <a:lnTo>
                  <a:pt x="50" y="8"/>
                </a:lnTo>
                <a:lnTo>
                  <a:pt x="26" y="0"/>
                </a:lnTo>
                <a:lnTo>
                  <a:pt x="23" y="6"/>
                </a:lnTo>
                <a:lnTo>
                  <a:pt x="20" y="8"/>
                </a:lnTo>
                <a:lnTo>
                  <a:pt x="17" y="14"/>
                </a:lnTo>
                <a:lnTo>
                  <a:pt x="15" y="17"/>
                </a:lnTo>
                <a:lnTo>
                  <a:pt x="12" y="23"/>
                </a:lnTo>
                <a:lnTo>
                  <a:pt x="9" y="26"/>
                </a:lnTo>
                <a:lnTo>
                  <a:pt x="3" y="31"/>
                </a:lnTo>
                <a:lnTo>
                  <a:pt x="0" y="34"/>
                </a:lnTo>
                <a:lnTo>
                  <a:pt x="0" y="31"/>
                </a:lnTo>
                <a:lnTo>
                  <a:pt x="17" y="5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8" name="Freeform 207">
            <a:extLst>
              <a:ext uri="{FF2B5EF4-FFF2-40B4-BE49-F238E27FC236}">
                <a16:creationId xmlns:a16="http://schemas.microsoft.com/office/drawing/2014/main" id="{00000000-0008-0000-0100-0000D0000000}"/>
              </a:ext>
            </a:extLst>
          </xdr:cNvPr>
          <xdr:cNvSpPr/>
        </xdr:nvSpPr>
        <xdr:spPr>
          <a:xfrm>
            <a:off x="10097" y="10225"/>
            <a:ext cx="61" cy="41"/>
          </a:xfrm>
          <a:custGeom>
            <a:avLst/>
            <a:gdLst/>
            <a:ahLst/>
            <a:cxnLst>
              <a:cxn ang="0">
                <a:pos x="0" y="41"/>
              </a:cxn>
              <a:cxn ang="0">
                <a:pos x="0" y="41"/>
              </a:cxn>
              <a:cxn ang="0">
                <a:pos x="6" y="41"/>
              </a:cxn>
              <a:cxn ang="0">
                <a:pos x="9" y="41"/>
              </a:cxn>
              <a:cxn ang="0">
                <a:pos x="11" y="41"/>
              </a:cxn>
              <a:cxn ang="0">
                <a:pos x="17" y="41"/>
              </a:cxn>
              <a:cxn ang="0">
                <a:pos x="20" y="41"/>
              </a:cxn>
              <a:cxn ang="0">
                <a:pos x="26" y="41"/>
              </a:cxn>
              <a:cxn ang="0">
                <a:pos x="29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47" y="32"/>
              </a:cxn>
              <a:cxn ang="0">
                <a:pos x="50" y="32"/>
              </a:cxn>
              <a:cxn ang="0">
                <a:pos x="56" y="26"/>
              </a:cxn>
              <a:cxn ang="0">
                <a:pos x="59" y="26"/>
              </a:cxn>
              <a:cxn ang="0">
                <a:pos x="61" y="23"/>
              </a:cxn>
              <a:cxn ang="0">
                <a:pos x="44" y="0"/>
              </a:cxn>
              <a:cxn ang="0">
                <a:pos x="41" y="3"/>
              </a:cxn>
              <a:cxn ang="0">
                <a:pos x="41" y="6"/>
              </a:cxn>
              <a:cxn ang="0">
                <a:pos x="41" y="3"/>
              </a:cxn>
              <a:cxn ang="0">
                <a:pos x="38" y="6"/>
              </a:cxn>
              <a:cxn ang="0">
                <a:pos x="35" y="9"/>
              </a:cxn>
              <a:cxn ang="0">
                <a:pos x="32" y="9"/>
              </a:cxn>
              <a:cxn ang="0">
                <a:pos x="26" y="9"/>
              </a:cxn>
              <a:cxn ang="0">
                <a:pos x="26" y="9"/>
              </a:cxn>
              <a:cxn ang="0">
                <a:pos x="23" y="12"/>
              </a:cxn>
              <a:cxn ang="0">
                <a:pos x="20" y="12"/>
              </a:cxn>
              <a:cxn ang="0">
                <a:pos x="17" y="12"/>
              </a:cxn>
              <a:cxn ang="0">
                <a:pos x="14" y="15"/>
              </a:cxn>
              <a:cxn ang="0">
                <a:pos x="11" y="15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1"/>
              </a:cxn>
            </a:cxnLst>
            <a:rect l="0" t="0" r="r" b="b"/>
            <a:pathLst>
              <a:path w="61" h="41">
                <a:moveTo>
                  <a:pt x="0" y="41"/>
                </a:moveTo>
                <a:lnTo>
                  <a:pt x="0" y="41"/>
                </a:lnTo>
                <a:lnTo>
                  <a:pt x="6" y="41"/>
                </a:lnTo>
                <a:lnTo>
                  <a:pt x="9" y="41"/>
                </a:lnTo>
                <a:lnTo>
                  <a:pt x="11" y="41"/>
                </a:lnTo>
                <a:lnTo>
                  <a:pt x="17" y="41"/>
                </a:lnTo>
                <a:lnTo>
                  <a:pt x="20" y="41"/>
                </a:lnTo>
                <a:lnTo>
                  <a:pt x="26" y="41"/>
                </a:lnTo>
                <a:lnTo>
                  <a:pt x="29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47" y="32"/>
                </a:lnTo>
                <a:lnTo>
                  <a:pt x="50" y="32"/>
                </a:lnTo>
                <a:lnTo>
                  <a:pt x="56" y="26"/>
                </a:lnTo>
                <a:lnTo>
                  <a:pt x="59" y="26"/>
                </a:lnTo>
                <a:lnTo>
                  <a:pt x="61" y="23"/>
                </a:lnTo>
                <a:lnTo>
                  <a:pt x="44" y="0"/>
                </a:lnTo>
                <a:lnTo>
                  <a:pt x="41" y="3"/>
                </a:lnTo>
                <a:lnTo>
                  <a:pt x="41" y="6"/>
                </a:lnTo>
                <a:lnTo>
                  <a:pt x="41" y="3"/>
                </a:lnTo>
                <a:lnTo>
                  <a:pt x="38" y="6"/>
                </a:lnTo>
                <a:lnTo>
                  <a:pt x="35" y="9"/>
                </a:lnTo>
                <a:lnTo>
                  <a:pt x="32" y="9"/>
                </a:lnTo>
                <a:lnTo>
                  <a:pt x="26" y="9"/>
                </a:lnTo>
                <a:lnTo>
                  <a:pt x="26" y="9"/>
                </a:lnTo>
                <a:lnTo>
                  <a:pt x="23" y="12"/>
                </a:lnTo>
                <a:lnTo>
                  <a:pt x="20" y="12"/>
                </a:lnTo>
                <a:lnTo>
                  <a:pt x="17" y="12"/>
                </a:lnTo>
                <a:lnTo>
                  <a:pt x="14" y="15"/>
                </a:lnTo>
                <a:lnTo>
                  <a:pt x="11" y="15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9" name="Freeform 208">
            <a:extLst>
              <a:ext uri="{FF2B5EF4-FFF2-40B4-BE49-F238E27FC236}">
                <a16:creationId xmlns:a16="http://schemas.microsoft.com/office/drawing/2014/main" id="{00000000-0008-0000-0100-0000D1000000}"/>
              </a:ext>
            </a:extLst>
          </xdr:cNvPr>
          <xdr:cNvSpPr/>
        </xdr:nvSpPr>
        <xdr:spPr>
          <a:xfrm>
            <a:off x="10038" y="10240"/>
            <a:ext cx="59" cy="26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6"/>
              </a:cxn>
              <a:cxn ang="0">
                <a:pos x="59" y="26"/>
              </a:cxn>
              <a:cxn ang="0">
                <a:pos x="59" y="0"/>
              </a:cxn>
              <a:cxn ang="0">
                <a:pos x="18" y="0"/>
              </a:cxn>
              <a:cxn ang="0">
                <a:pos x="29" y="14"/>
              </a:cxn>
              <a:cxn ang="0">
                <a:pos x="3" y="11"/>
              </a:cxn>
              <a:cxn ang="0">
                <a:pos x="0" y="26"/>
              </a:cxn>
              <a:cxn ang="0">
                <a:pos x="18" y="26"/>
              </a:cxn>
              <a:cxn ang="0">
                <a:pos x="3" y="11"/>
              </a:cxn>
            </a:cxnLst>
            <a:rect l="0" t="0" r="r" b="b"/>
            <a:pathLst>
              <a:path w="59" h="26">
                <a:moveTo>
                  <a:pt x="3" y="11"/>
                </a:moveTo>
                <a:lnTo>
                  <a:pt x="18" y="26"/>
                </a:lnTo>
                <a:lnTo>
                  <a:pt x="59" y="26"/>
                </a:lnTo>
                <a:lnTo>
                  <a:pt x="59" y="0"/>
                </a:lnTo>
                <a:lnTo>
                  <a:pt x="18" y="0"/>
                </a:lnTo>
                <a:lnTo>
                  <a:pt x="29" y="14"/>
                </a:lnTo>
                <a:lnTo>
                  <a:pt x="3" y="11"/>
                </a:lnTo>
                <a:lnTo>
                  <a:pt x="0" y="26"/>
                </a:lnTo>
                <a:lnTo>
                  <a:pt x="18" y="26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0" name="Freeform 209">
            <a:extLst>
              <a:ext uri="{FF2B5EF4-FFF2-40B4-BE49-F238E27FC236}">
                <a16:creationId xmlns:a16="http://schemas.microsoft.com/office/drawing/2014/main" id="{00000000-0008-0000-0100-0000D2000000}"/>
              </a:ext>
            </a:extLst>
          </xdr:cNvPr>
          <xdr:cNvSpPr/>
        </xdr:nvSpPr>
        <xdr:spPr>
          <a:xfrm>
            <a:off x="10108" y="10188"/>
            <a:ext cx="36" cy="35"/>
          </a:xfrm>
          <a:custGeom>
            <a:avLst/>
            <a:gdLst/>
            <a:ahLst/>
            <a:cxnLst>
              <a:cxn ang="0">
                <a:pos x="9" y="3"/>
              </a:cxn>
              <a:cxn ang="0">
                <a:pos x="9" y="0"/>
              </a:cxn>
              <a:cxn ang="0">
                <a:pos x="9" y="3"/>
              </a:cxn>
              <a:cxn ang="0">
                <a:pos x="6" y="3"/>
              </a:cxn>
              <a:cxn ang="0">
                <a:pos x="6" y="6"/>
              </a:cxn>
              <a:cxn ang="0">
                <a:pos x="6" y="6"/>
              </a:cxn>
              <a:cxn ang="0">
                <a:pos x="3" y="6"/>
              </a:cxn>
              <a:cxn ang="0">
                <a:pos x="3" y="6"/>
              </a:cxn>
              <a:cxn ang="0">
                <a:pos x="0" y="6"/>
              </a:cxn>
              <a:cxn ang="0">
                <a:pos x="0" y="35"/>
              </a:cxn>
              <a:cxn ang="0">
                <a:pos x="3" y="35"/>
              </a:cxn>
              <a:cxn ang="0">
                <a:pos x="9" y="35"/>
              </a:cxn>
              <a:cxn ang="0">
                <a:pos x="15" y="32"/>
              </a:cxn>
              <a:cxn ang="0">
                <a:pos x="18" y="32"/>
              </a:cxn>
              <a:cxn ang="0">
                <a:pos x="24" y="26"/>
              </a:cxn>
              <a:cxn ang="0">
                <a:pos x="27" y="23"/>
              </a:cxn>
              <a:cxn ang="0">
                <a:pos x="30" y="20"/>
              </a:cxn>
              <a:cxn ang="0">
                <a:pos x="33" y="17"/>
              </a:cxn>
              <a:cxn ang="0">
                <a:pos x="36" y="14"/>
              </a:cxn>
              <a:cxn ang="0">
                <a:pos x="9" y="3"/>
              </a:cxn>
            </a:cxnLst>
            <a:rect l="0" t="0" r="r" b="b"/>
            <a:pathLst>
              <a:path w="36" h="35">
                <a:moveTo>
                  <a:pt x="9" y="3"/>
                </a:moveTo>
                <a:lnTo>
                  <a:pt x="9" y="0"/>
                </a:lnTo>
                <a:lnTo>
                  <a:pt x="9" y="3"/>
                </a:lnTo>
                <a:lnTo>
                  <a:pt x="6" y="3"/>
                </a:lnTo>
                <a:lnTo>
                  <a:pt x="6" y="6"/>
                </a:lnTo>
                <a:lnTo>
                  <a:pt x="6" y="6"/>
                </a:lnTo>
                <a:lnTo>
                  <a:pt x="3" y="6"/>
                </a:lnTo>
                <a:lnTo>
                  <a:pt x="3" y="6"/>
                </a:lnTo>
                <a:lnTo>
                  <a:pt x="0" y="6"/>
                </a:lnTo>
                <a:lnTo>
                  <a:pt x="0" y="35"/>
                </a:lnTo>
                <a:lnTo>
                  <a:pt x="3" y="35"/>
                </a:lnTo>
                <a:lnTo>
                  <a:pt x="9" y="35"/>
                </a:lnTo>
                <a:lnTo>
                  <a:pt x="15" y="32"/>
                </a:lnTo>
                <a:lnTo>
                  <a:pt x="18" y="32"/>
                </a:lnTo>
                <a:lnTo>
                  <a:pt x="24" y="26"/>
                </a:lnTo>
                <a:lnTo>
                  <a:pt x="27" y="23"/>
                </a:lnTo>
                <a:lnTo>
                  <a:pt x="30" y="20"/>
                </a:lnTo>
                <a:lnTo>
                  <a:pt x="33" y="17"/>
                </a:lnTo>
                <a:lnTo>
                  <a:pt x="36" y="14"/>
                </a:lnTo>
                <a:lnTo>
                  <a:pt x="9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1" name="Freeform 210">
            <a:extLst>
              <a:ext uri="{FF2B5EF4-FFF2-40B4-BE49-F238E27FC236}">
                <a16:creationId xmlns:a16="http://schemas.microsoft.com/office/drawing/2014/main" id="{00000000-0008-0000-0100-0000D3000000}"/>
              </a:ext>
            </a:extLst>
          </xdr:cNvPr>
          <xdr:cNvSpPr/>
        </xdr:nvSpPr>
        <xdr:spPr>
          <a:xfrm>
            <a:off x="10117" y="10165"/>
            <a:ext cx="39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6" y="9"/>
              </a:cxn>
              <a:cxn ang="0">
                <a:pos x="6" y="11"/>
              </a:cxn>
              <a:cxn ang="0">
                <a:pos x="6" y="17"/>
              </a:cxn>
              <a:cxn ang="0">
                <a:pos x="3" y="20"/>
              </a:cxn>
              <a:cxn ang="0">
                <a:pos x="3" y="23"/>
              </a:cxn>
              <a:cxn ang="0">
                <a:pos x="0" y="26"/>
              </a:cxn>
              <a:cxn ang="0">
                <a:pos x="27" y="37"/>
              </a:cxn>
              <a:cxn ang="0">
                <a:pos x="27" y="35"/>
              </a:cxn>
              <a:cxn ang="0">
                <a:pos x="30" y="29"/>
              </a:cxn>
              <a:cxn ang="0">
                <a:pos x="33" y="26"/>
              </a:cxn>
              <a:cxn ang="0">
                <a:pos x="33" y="20"/>
              </a:cxn>
              <a:cxn ang="0">
                <a:pos x="36" y="17"/>
              </a:cxn>
              <a:cxn ang="0">
                <a:pos x="36" y="11"/>
              </a:cxn>
              <a:cxn ang="0">
                <a:pos x="36" y="9"/>
              </a:cxn>
              <a:cxn ang="0">
                <a:pos x="39" y="3"/>
              </a:cxn>
              <a:cxn ang="0">
                <a:pos x="39" y="0"/>
              </a:cxn>
              <a:cxn ang="0">
                <a:pos x="9" y="0"/>
              </a:cxn>
            </a:cxnLst>
            <a:rect l="0" t="0" r="r" b="b"/>
            <a:pathLst>
              <a:path w="39" h="37">
                <a:moveTo>
                  <a:pt x="9" y="0"/>
                </a:move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6" y="9"/>
                </a:lnTo>
                <a:lnTo>
                  <a:pt x="6" y="11"/>
                </a:lnTo>
                <a:lnTo>
                  <a:pt x="6" y="17"/>
                </a:lnTo>
                <a:lnTo>
                  <a:pt x="3" y="20"/>
                </a:lnTo>
                <a:lnTo>
                  <a:pt x="3" y="23"/>
                </a:lnTo>
                <a:lnTo>
                  <a:pt x="0" y="26"/>
                </a:lnTo>
                <a:lnTo>
                  <a:pt x="27" y="37"/>
                </a:lnTo>
                <a:lnTo>
                  <a:pt x="27" y="35"/>
                </a:lnTo>
                <a:lnTo>
                  <a:pt x="30" y="29"/>
                </a:lnTo>
                <a:lnTo>
                  <a:pt x="33" y="26"/>
                </a:lnTo>
                <a:lnTo>
                  <a:pt x="33" y="20"/>
                </a:lnTo>
                <a:lnTo>
                  <a:pt x="36" y="17"/>
                </a:lnTo>
                <a:lnTo>
                  <a:pt x="36" y="11"/>
                </a:lnTo>
                <a:lnTo>
                  <a:pt x="36" y="9"/>
                </a:lnTo>
                <a:lnTo>
                  <a:pt x="39" y="3"/>
                </a:lnTo>
                <a:lnTo>
                  <a:pt x="39" y="0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2" name="Freeform 211">
            <a:extLst>
              <a:ext uri="{FF2B5EF4-FFF2-40B4-BE49-F238E27FC236}">
                <a16:creationId xmlns:a16="http://schemas.microsoft.com/office/drawing/2014/main" id="{00000000-0008-0000-0100-0000D4000000}"/>
              </a:ext>
            </a:extLst>
          </xdr:cNvPr>
          <xdr:cNvSpPr/>
        </xdr:nvSpPr>
        <xdr:spPr>
          <a:xfrm>
            <a:off x="10126" y="10159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3" name="Freeform 212">
            <a:extLst>
              <a:ext uri="{FF2B5EF4-FFF2-40B4-BE49-F238E27FC236}">
                <a16:creationId xmlns:a16="http://schemas.microsoft.com/office/drawing/2014/main" id="{00000000-0008-0000-0100-0000D5000000}"/>
              </a:ext>
            </a:extLst>
          </xdr:cNvPr>
          <xdr:cNvSpPr/>
        </xdr:nvSpPr>
        <xdr:spPr>
          <a:xfrm>
            <a:off x="10126" y="10153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4" name="Freeform 213">
            <a:extLst>
              <a:ext uri="{FF2B5EF4-FFF2-40B4-BE49-F238E27FC236}">
                <a16:creationId xmlns:a16="http://schemas.microsoft.com/office/drawing/2014/main" id="{00000000-0008-0000-0100-0000D6000000}"/>
              </a:ext>
            </a:extLst>
          </xdr:cNvPr>
          <xdr:cNvSpPr/>
        </xdr:nvSpPr>
        <xdr:spPr>
          <a:xfrm>
            <a:off x="10126" y="10148"/>
            <a:ext cx="30" cy="5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5"/>
              </a:cxn>
              <a:cxn ang="0">
                <a:pos x="30" y="5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5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5"/>
                </a:lnTo>
                <a:lnTo>
                  <a:pt x="30" y="5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5" name="Freeform 214">
            <a:extLst>
              <a:ext uri="{FF2B5EF4-FFF2-40B4-BE49-F238E27FC236}">
                <a16:creationId xmlns:a16="http://schemas.microsoft.com/office/drawing/2014/main" id="{00000000-0008-0000-0100-0000D7000000}"/>
              </a:ext>
            </a:extLst>
          </xdr:cNvPr>
          <xdr:cNvSpPr/>
        </xdr:nvSpPr>
        <xdr:spPr>
          <a:xfrm>
            <a:off x="10108" y="10104"/>
            <a:ext cx="48" cy="44"/>
          </a:xfrm>
          <a:custGeom>
            <a:avLst/>
            <a:gdLst/>
            <a:ahLst/>
            <a:cxnLst>
              <a:cxn ang="0">
                <a:pos x="27" y="15"/>
              </a:cxn>
              <a:cxn ang="0">
                <a:pos x="15" y="26"/>
              </a:cxn>
              <a:cxn ang="0">
                <a:pos x="18" y="29"/>
              </a:cxn>
              <a:cxn ang="0">
                <a:pos x="18" y="29"/>
              </a:cxn>
              <a:cxn ang="0">
                <a:pos x="15" y="29"/>
              </a:cxn>
              <a:cxn ang="0">
                <a:pos x="18" y="29"/>
              </a:cxn>
              <a:cxn ang="0">
                <a:pos x="18" y="29"/>
              </a:cxn>
              <a:cxn ang="0">
                <a:pos x="18" y="35"/>
              </a:cxn>
              <a:cxn ang="0">
                <a:pos x="21" y="38"/>
              </a:cxn>
              <a:cxn ang="0">
                <a:pos x="21" y="44"/>
              </a:cxn>
              <a:cxn ang="0">
                <a:pos x="48" y="44"/>
              </a:cxn>
              <a:cxn ang="0">
                <a:pos x="48" y="35"/>
              </a:cxn>
              <a:cxn ang="0">
                <a:pos x="45" y="29"/>
              </a:cxn>
              <a:cxn ang="0">
                <a:pos x="45" y="21"/>
              </a:cxn>
              <a:cxn ang="0">
                <a:pos x="39" y="15"/>
              </a:cxn>
              <a:cxn ang="0">
                <a:pos x="36" y="9"/>
              </a:cxn>
              <a:cxn ang="0">
                <a:pos x="30" y="3"/>
              </a:cxn>
              <a:cxn ang="0">
                <a:pos x="21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7" y="15"/>
              </a:cxn>
            </a:cxnLst>
            <a:rect l="0" t="0" r="r" b="b"/>
            <a:pathLst>
              <a:path w="48" h="44">
                <a:moveTo>
                  <a:pt x="27" y="15"/>
                </a:moveTo>
                <a:lnTo>
                  <a:pt x="15" y="26"/>
                </a:lnTo>
                <a:lnTo>
                  <a:pt x="18" y="29"/>
                </a:lnTo>
                <a:lnTo>
                  <a:pt x="18" y="29"/>
                </a:lnTo>
                <a:lnTo>
                  <a:pt x="15" y="29"/>
                </a:lnTo>
                <a:lnTo>
                  <a:pt x="18" y="29"/>
                </a:lnTo>
                <a:lnTo>
                  <a:pt x="18" y="29"/>
                </a:lnTo>
                <a:lnTo>
                  <a:pt x="18" y="35"/>
                </a:lnTo>
                <a:lnTo>
                  <a:pt x="21" y="38"/>
                </a:lnTo>
                <a:lnTo>
                  <a:pt x="21" y="44"/>
                </a:lnTo>
                <a:lnTo>
                  <a:pt x="48" y="44"/>
                </a:lnTo>
                <a:lnTo>
                  <a:pt x="48" y="35"/>
                </a:lnTo>
                <a:lnTo>
                  <a:pt x="45" y="29"/>
                </a:lnTo>
                <a:lnTo>
                  <a:pt x="45" y="21"/>
                </a:lnTo>
                <a:lnTo>
                  <a:pt x="39" y="15"/>
                </a:lnTo>
                <a:lnTo>
                  <a:pt x="36" y="9"/>
                </a:lnTo>
                <a:lnTo>
                  <a:pt x="30" y="3"/>
                </a:lnTo>
                <a:lnTo>
                  <a:pt x="21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7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6" name="Freeform 215">
            <a:extLst>
              <a:ext uri="{FF2B5EF4-FFF2-40B4-BE49-F238E27FC236}">
                <a16:creationId xmlns:a16="http://schemas.microsoft.com/office/drawing/2014/main" id="{00000000-0008-0000-0100-0000D8000000}"/>
              </a:ext>
            </a:extLst>
          </xdr:cNvPr>
          <xdr:cNvSpPr/>
        </xdr:nvSpPr>
        <xdr:spPr>
          <a:xfrm>
            <a:off x="10094" y="10116"/>
            <a:ext cx="41" cy="107"/>
          </a:xfrm>
          <a:custGeom>
            <a:avLst/>
            <a:gdLst/>
            <a:ahLst/>
            <a:cxnLst>
              <a:cxn ang="0">
                <a:pos x="14" y="81"/>
              </a:cxn>
              <a:cxn ang="0">
                <a:pos x="29" y="95"/>
              </a:cxn>
              <a:cxn ang="0">
                <a:pos x="41" y="6"/>
              </a:cxn>
              <a:cxn ang="0">
                <a:pos x="14" y="0"/>
              </a:cxn>
              <a:cxn ang="0">
                <a:pos x="0" y="92"/>
              </a:cxn>
              <a:cxn ang="0">
                <a:pos x="14" y="107"/>
              </a:cxn>
              <a:cxn ang="0">
                <a:pos x="0" y="92"/>
              </a:cxn>
              <a:cxn ang="0">
                <a:pos x="0" y="107"/>
              </a:cxn>
              <a:cxn ang="0">
                <a:pos x="14" y="107"/>
              </a:cxn>
              <a:cxn ang="0">
                <a:pos x="14" y="81"/>
              </a:cxn>
            </a:cxnLst>
            <a:rect l="0" t="0" r="r" b="b"/>
            <a:pathLst>
              <a:path w="41" h="107">
                <a:moveTo>
                  <a:pt x="14" y="81"/>
                </a:moveTo>
                <a:lnTo>
                  <a:pt x="29" y="95"/>
                </a:lnTo>
                <a:lnTo>
                  <a:pt x="41" y="6"/>
                </a:lnTo>
                <a:lnTo>
                  <a:pt x="14" y="0"/>
                </a:lnTo>
                <a:lnTo>
                  <a:pt x="0" y="92"/>
                </a:lnTo>
                <a:lnTo>
                  <a:pt x="14" y="107"/>
                </a:lnTo>
                <a:lnTo>
                  <a:pt x="0" y="92"/>
                </a:lnTo>
                <a:lnTo>
                  <a:pt x="0" y="107"/>
                </a:lnTo>
                <a:lnTo>
                  <a:pt x="14" y="107"/>
                </a:lnTo>
                <a:lnTo>
                  <a:pt x="14" y="8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7" name="Freeform 216">
            <a:extLst>
              <a:ext uri="{FF2B5EF4-FFF2-40B4-BE49-F238E27FC236}">
                <a16:creationId xmlns:a16="http://schemas.microsoft.com/office/drawing/2014/main" id="{00000000-0008-0000-0100-0000D9000000}"/>
              </a:ext>
            </a:extLst>
          </xdr:cNvPr>
          <xdr:cNvSpPr/>
        </xdr:nvSpPr>
        <xdr:spPr>
          <a:xfrm>
            <a:off x="10176" y="10058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6" y="18"/>
              </a:cxn>
              <a:cxn ang="0">
                <a:pos x="41" y="29"/>
              </a:cxn>
              <a:cxn ang="0">
                <a:pos x="41" y="0"/>
              </a:cxn>
              <a:cxn ang="0">
                <a:pos x="30" y="0"/>
              </a:cxn>
              <a:cxn ang="0">
                <a:pos x="27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6" y="18"/>
                </a:lnTo>
                <a:lnTo>
                  <a:pt x="41" y="29"/>
                </a:lnTo>
                <a:lnTo>
                  <a:pt x="41" y="0"/>
                </a:lnTo>
                <a:lnTo>
                  <a:pt x="30" y="0"/>
                </a:lnTo>
                <a:lnTo>
                  <a:pt x="27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8" name="Freeform 217">
            <a:extLst>
              <a:ext uri="{FF2B5EF4-FFF2-40B4-BE49-F238E27FC236}">
                <a16:creationId xmlns:a16="http://schemas.microsoft.com/office/drawing/2014/main" id="{00000000-0008-0000-0100-0000DA000000}"/>
              </a:ext>
            </a:extLst>
          </xdr:cNvPr>
          <xdr:cNvSpPr/>
        </xdr:nvSpPr>
        <xdr:spPr>
          <a:xfrm>
            <a:off x="10217" y="10058"/>
            <a:ext cx="103" cy="29"/>
          </a:xfrm>
          <a:custGeom>
            <a:avLst/>
            <a:gdLst/>
            <a:ahLst/>
            <a:cxnLst>
              <a:cxn ang="0">
                <a:pos x="100" y="18"/>
              </a:cxn>
              <a:cxn ang="0">
                <a:pos x="89" y="0"/>
              </a:cxn>
              <a:cxn ang="0">
                <a:pos x="0" y="0"/>
              </a:cxn>
              <a:cxn ang="0">
                <a:pos x="0" y="29"/>
              </a:cxn>
              <a:cxn ang="0">
                <a:pos x="89" y="29"/>
              </a:cxn>
              <a:cxn ang="0">
                <a:pos x="74" y="12"/>
              </a:cxn>
              <a:cxn ang="0">
                <a:pos x="100" y="18"/>
              </a:cxn>
              <a:cxn ang="0">
                <a:pos x="103" y="0"/>
              </a:cxn>
              <a:cxn ang="0">
                <a:pos x="89" y="0"/>
              </a:cxn>
              <a:cxn ang="0">
                <a:pos x="100" y="18"/>
              </a:cxn>
            </a:cxnLst>
            <a:rect l="0" t="0" r="r" b="b"/>
            <a:pathLst>
              <a:path w="103" h="29">
                <a:moveTo>
                  <a:pt x="100" y="18"/>
                </a:moveTo>
                <a:lnTo>
                  <a:pt x="89" y="0"/>
                </a:lnTo>
                <a:lnTo>
                  <a:pt x="0" y="0"/>
                </a:lnTo>
                <a:lnTo>
                  <a:pt x="0" y="29"/>
                </a:lnTo>
                <a:lnTo>
                  <a:pt x="89" y="29"/>
                </a:lnTo>
                <a:lnTo>
                  <a:pt x="74" y="12"/>
                </a:lnTo>
                <a:lnTo>
                  <a:pt x="100" y="18"/>
                </a:lnTo>
                <a:lnTo>
                  <a:pt x="103" y="0"/>
                </a:lnTo>
                <a:lnTo>
                  <a:pt x="89" y="0"/>
                </a:lnTo>
                <a:lnTo>
                  <a:pt x="100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9" name="Freeform 218">
            <a:extLst>
              <a:ext uri="{FF2B5EF4-FFF2-40B4-BE49-F238E27FC236}">
                <a16:creationId xmlns:a16="http://schemas.microsoft.com/office/drawing/2014/main" id="{00000000-0008-0000-0100-0000DB000000}"/>
              </a:ext>
            </a:extLst>
          </xdr:cNvPr>
          <xdr:cNvSpPr/>
        </xdr:nvSpPr>
        <xdr:spPr>
          <a:xfrm>
            <a:off x="10285" y="10070"/>
            <a:ext cx="32" cy="60"/>
          </a:xfrm>
          <a:custGeom>
            <a:avLst/>
            <a:gdLst/>
            <a:ahLst/>
            <a:cxnLst>
              <a:cxn ang="0">
                <a:pos x="15" y="60"/>
              </a:cxn>
              <a:cxn ang="0">
                <a:pos x="26" y="49"/>
              </a:cxn>
              <a:cxn ang="0">
                <a:pos x="32" y="6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0"/>
              </a:cxn>
              <a:cxn ang="0">
                <a:pos x="26" y="60"/>
              </a:cxn>
              <a:cxn ang="0">
                <a:pos x="26" y="49"/>
              </a:cxn>
              <a:cxn ang="0">
                <a:pos x="15" y="60"/>
              </a:cxn>
            </a:cxnLst>
            <a:rect l="0" t="0" r="r" b="b"/>
            <a:pathLst>
              <a:path w="32" h="60">
                <a:moveTo>
                  <a:pt x="15" y="60"/>
                </a:moveTo>
                <a:lnTo>
                  <a:pt x="26" y="49"/>
                </a:lnTo>
                <a:lnTo>
                  <a:pt x="32" y="6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60"/>
                </a:lnTo>
                <a:lnTo>
                  <a:pt x="26" y="60"/>
                </a:lnTo>
                <a:lnTo>
                  <a:pt x="26" y="49"/>
                </a:lnTo>
                <a:lnTo>
                  <a:pt x="15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0" name="Freeform 219">
            <a:extLst>
              <a:ext uri="{FF2B5EF4-FFF2-40B4-BE49-F238E27FC236}">
                <a16:creationId xmlns:a16="http://schemas.microsoft.com/office/drawing/2014/main" id="{00000000-0008-0000-0100-0000DC000000}"/>
              </a:ext>
            </a:extLst>
          </xdr:cNvPr>
          <xdr:cNvSpPr/>
        </xdr:nvSpPr>
        <xdr:spPr>
          <a:xfrm>
            <a:off x="10244" y="10102"/>
            <a:ext cx="56" cy="28"/>
          </a:xfrm>
          <a:custGeom>
            <a:avLst/>
            <a:gdLst/>
            <a:ahLst/>
            <a:cxnLst>
              <a:cxn ang="0">
                <a:pos x="26" y="17"/>
              </a:cxn>
              <a:cxn ang="0">
                <a:pos x="15" y="28"/>
              </a:cxn>
              <a:cxn ang="0">
                <a:pos x="56" y="28"/>
              </a:cxn>
              <a:cxn ang="0">
                <a:pos x="56" y="0"/>
              </a:cxn>
              <a:cxn ang="0">
                <a:pos x="15" y="0"/>
              </a:cxn>
              <a:cxn ang="0">
                <a:pos x="0" y="11"/>
              </a:cxn>
              <a:cxn ang="0">
                <a:pos x="15" y="0"/>
              </a:cxn>
              <a:cxn ang="0">
                <a:pos x="3" y="0"/>
              </a:cxn>
              <a:cxn ang="0">
                <a:pos x="0" y="11"/>
              </a:cxn>
              <a:cxn ang="0">
                <a:pos x="26" y="17"/>
              </a:cxn>
            </a:cxnLst>
            <a:rect l="0" t="0" r="r" b="b"/>
            <a:pathLst>
              <a:path w="56" h="28">
                <a:moveTo>
                  <a:pt x="26" y="17"/>
                </a:moveTo>
                <a:lnTo>
                  <a:pt x="15" y="28"/>
                </a:lnTo>
                <a:lnTo>
                  <a:pt x="56" y="28"/>
                </a:lnTo>
                <a:lnTo>
                  <a:pt x="56" y="0"/>
                </a:lnTo>
                <a:lnTo>
                  <a:pt x="15" y="0"/>
                </a:lnTo>
                <a:lnTo>
                  <a:pt x="0" y="11"/>
                </a:lnTo>
                <a:lnTo>
                  <a:pt x="15" y="0"/>
                </a:lnTo>
                <a:lnTo>
                  <a:pt x="3" y="0"/>
                </a:lnTo>
                <a:lnTo>
                  <a:pt x="0" y="11"/>
                </a:lnTo>
                <a:lnTo>
                  <a:pt x="26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1" name="Freeform 220">
            <a:extLst>
              <a:ext uri="{FF2B5EF4-FFF2-40B4-BE49-F238E27FC236}">
                <a16:creationId xmlns:a16="http://schemas.microsoft.com/office/drawing/2014/main" id="{00000000-0008-0000-0100-0000DD000000}"/>
              </a:ext>
            </a:extLst>
          </xdr:cNvPr>
          <xdr:cNvSpPr/>
        </xdr:nvSpPr>
        <xdr:spPr>
          <a:xfrm>
            <a:off x="10238" y="10113"/>
            <a:ext cx="32" cy="40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29" y="29"/>
              </a:cxn>
              <a:cxn ang="0">
                <a:pos x="32" y="6"/>
              </a:cxn>
              <a:cxn ang="0">
                <a:pos x="6" y="0"/>
              </a:cxn>
              <a:cxn ang="0">
                <a:pos x="3" y="26"/>
              </a:cxn>
              <a:cxn ang="0">
                <a:pos x="15" y="40"/>
              </a:cxn>
              <a:cxn ang="0">
                <a:pos x="3" y="26"/>
              </a:cxn>
              <a:cxn ang="0">
                <a:pos x="0" y="40"/>
              </a:cxn>
              <a:cxn ang="0">
                <a:pos x="15" y="40"/>
              </a:cxn>
              <a:cxn ang="0">
                <a:pos x="15" y="15"/>
              </a:cxn>
            </a:cxnLst>
            <a:rect l="0" t="0" r="r" b="b"/>
            <a:pathLst>
              <a:path w="32" h="40">
                <a:moveTo>
                  <a:pt x="15" y="15"/>
                </a:moveTo>
                <a:lnTo>
                  <a:pt x="29" y="29"/>
                </a:lnTo>
                <a:lnTo>
                  <a:pt x="32" y="6"/>
                </a:lnTo>
                <a:lnTo>
                  <a:pt x="6" y="0"/>
                </a:lnTo>
                <a:lnTo>
                  <a:pt x="3" y="26"/>
                </a:lnTo>
                <a:lnTo>
                  <a:pt x="15" y="40"/>
                </a:lnTo>
                <a:lnTo>
                  <a:pt x="3" y="26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2" name="Freeform 221">
            <a:extLst>
              <a:ext uri="{FF2B5EF4-FFF2-40B4-BE49-F238E27FC236}">
                <a16:creationId xmlns:a16="http://schemas.microsoft.com/office/drawing/2014/main" id="{00000000-0008-0000-0100-0000DE000000}"/>
              </a:ext>
            </a:extLst>
          </xdr:cNvPr>
          <xdr:cNvSpPr/>
        </xdr:nvSpPr>
        <xdr:spPr>
          <a:xfrm>
            <a:off x="10256" y="10128"/>
            <a:ext cx="50" cy="25"/>
          </a:xfrm>
          <a:custGeom>
            <a:avLst/>
            <a:gdLst/>
            <a:ahLst/>
            <a:cxnLst>
              <a:cxn ang="0">
                <a:pos x="50" y="14"/>
              </a:cxn>
              <a:cxn ang="0">
                <a:pos x="35" y="0"/>
              </a:cxn>
              <a:cxn ang="0">
                <a:pos x="0" y="0"/>
              </a:cxn>
              <a:cxn ang="0">
                <a:pos x="0" y="25"/>
              </a:cxn>
              <a:cxn ang="0">
                <a:pos x="35" y="25"/>
              </a:cxn>
              <a:cxn ang="0">
                <a:pos x="20" y="8"/>
              </a:cxn>
              <a:cxn ang="0">
                <a:pos x="50" y="14"/>
              </a:cxn>
              <a:cxn ang="0">
                <a:pos x="50" y="0"/>
              </a:cxn>
              <a:cxn ang="0">
                <a:pos x="35" y="0"/>
              </a:cxn>
              <a:cxn ang="0">
                <a:pos x="50" y="14"/>
              </a:cxn>
            </a:cxnLst>
            <a:rect l="0" t="0" r="r" b="b"/>
            <a:pathLst>
              <a:path w="50" h="25">
                <a:moveTo>
                  <a:pt x="50" y="14"/>
                </a:moveTo>
                <a:lnTo>
                  <a:pt x="35" y="0"/>
                </a:lnTo>
                <a:lnTo>
                  <a:pt x="0" y="0"/>
                </a:lnTo>
                <a:lnTo>
                  <a:pt x="0" y="25"/>
                </a:lnTo>
                <a:lnTo>
                  <a:pt x="35" y="25"/>
                </a:lnTo>
                <a:lnTo>
                  <a:pt x="20" y="8"/>
                </a:lnTo>
                <a:lnTo>
                  <a:pt x="50" y="14"/>
                </a:lnTo>
                <a:lnTo>
                  <a:pt x="50" y="0"/>
                </a:lnTo>
                <a:lnTo>
                  <a:pt x="35" y="0"/>
                </a:lnTo>
                <a:lnTo>
                  <a:pt x="5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3" name="Freeform 222">
            <a:extLst>
              <a:ext uri="{FF2B5EF4-FFF2-40B4-BE49-F238E27FC236}">
                <a16:creationId xmlns:a16="http://schemas.microsoft.com/office/drawing/2014/main" id="{00000000-0008-0000-0100-0000DF000000}"/>
              </a:ext>
            </a:extLst>
          </xdr:cNvPr>
          <xdr:cNvSpPr/>
        </xdr:nvSpPr>
        <xdr:spPr>
          <a:xfrm>
            <a:off x="10270" y="10136"/>
            <a:ext cx="36" cy="61"/>
          </a:xfrm>
          <a:custGeom>
            <a:avLst/>
            <a:gdLst/>
            <a:ahLst/>
            <a:cxnLst>
              <a:cxn ang="0">
                <a:pos x="12" y="61"/>
              </a:cxn>
              <a:cxn ang="0">
                <a:pos x="27" y="49"/>
              </a:cxn>
              <a:cxn ang="0">
                <a:pos x="36" y="6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61"/>
              </a:cxn>
              <a:cxn ang="0">
                <a:pos x="24" y="61"/>
              </a:cxn>
              <a:cxn ang="0">
                <a:pos x="27" y="49"/>
              </a:cxn>
              <a:cxn ang="0">
                <a:pos x="12" y="61"/>
              </a:cxn>
            </a:cxnLst>
            <a:rect l="0" t="0" r="r" b="b"/>
            <a:pathLst>
              <a:path w="36" h="61">
                <a:moveTo>
                  <a:pt x="12" y="61"/>
                </a:moveTo>
                <a:lnTo>
                  <a:pt x="27" y="49"/>
                </a:lnTo>
                <a:lnTo>
                  <a:pt x="36" y="6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61"/>
                </a:lnTo>
                <a:lnTo>
                  <a:pt x="24" y="61"/>
                </a:lnTo>
                <a:lnTo>
                  <a:pt x="27" y="49"/>
                </a:lnTo>
                <a:lnTo>
                  <a:pt x="12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4" name="Freeform 223">
            <a:extLst>
              <a:ext uri="{FF2B5EF4-FFF2-40B4-BE49-F238E27FC236}">
                <a16:creationId xmlns:a16="http://schemas.microsoft.com/office/drawing/2014/main" id="{00000000-0008-0000-0100-0000E0000000}"/>
              </a:ext>
            </a:extLst>
          </xdr:cNvPr>
          <xdr:cNvSpPr/>
        </xdr:nvSpPr>
        <xdr:spPr>
          <a:xfrm>
            <a:off x="10235" y="10168"/>
            <a:ext cx="47" cy="29"/>
          </a:xfrm>
          <a:custGeom>
            <a:avLst/>
            <a:gdLst/>
            <a:ahLst/>
            <a:cxnLst>
              <a:cxn ang="0">
                <a:pos x="26" y="17"/>
              </a:cxn>
              <a:cxn ang="0">
                <a:pos x="12" y="29"/>
              </a:cxn>
              <a:cxn ang="0">
                <a:pos x="47" y="29"/>
              </a:cxn>
              <a:cxn ang="0">
                <a:pos x="47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6" y="17"/>
              </a:cxn>
            </a:cxnLst>
            <a:rect l="0" t="0" r="r" b="b"/>
            <a:pathLst>
              <a:path w="47" h="29">
                <a:moveTo>
                  <a:pt x="26" y="17"/>
                </a:moveTo>
                <a:lnTo>
                  <a:pt x="12" y="29"/>
                </a:lnTo>
                <a:lnTo>
                  <a:pt x="47" y="29"/>
                </a:lnTo>
                <a:lnTo>
                  <a:pt x="47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6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5" name="Freeform 224">
            <a:extLst>
              <a:ext uri="{FF2B5EF4-FFF2-40B4-BE49-F238E27FC236}">
                <a16:creationId xmlns:a16="http://schemas.microsoft.com/office/drawing/2014/main" id="{00000000-0008-0000-0100-0000E1000000}"/>
              </a:ext>
            </a:extLst>
          </xdr:cNvPr>
          <xdr:cNvSpPr/>
        </xdr:nvSpPr>
        <xdr:spPr>
          <a:xfrm>
            <a:off x="10229" y="10179"/>
            <a:ext cx="32" cy="44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30" y="32"/>
              </a:cxn>
              <a:cxn ang="0">
                <a:pos x="32" y="6"/>
              </a:cxn>
              <a:cxn ang="0">
                <a:pos x="6" y="0"/>
              </a:cxn>
              <a:cxn ang="0">
                <a:pos x="0" y="29"/>
              </a:cxn>
              <a:cxn ang="0">
                <a:pos x="15" y="44"/>
              </a:cxn>
              <a:cxn ang="0">
                <a:pos x="0" y="29"/>
              </a:cxn>
              <a:cxn ang="0">
                <a:pos x="0" y="44"/>
              </a:cxn>
              <a:cxn ang="0">
                <a:pos x="15" y="44"/>
              </a:cxn>
              <a:cxn ang="0">
                <a:pos x="15" y="15"/>
              </a:cxn>
            </a:cxnLst>
            <a:rect l="0" t="0" r="r" b="b"/>
            <a:pathLst>
              <a:path w="32" h="44">
                <a:moveTo>
                  <a:pt x="15" y="15"/>
                </a:moveTo>
                <a:lnTo>
                  <a:pt x="30" y="32"/>
                </a:lnTo>
                <a:lnTo>
                  <a:pt x="32" y="6"/>
                </a:lnTo>
                <a:lnTo>
                  <a:pt x="6" y="0"/>
                </a:lnTo>
                <a:lnTo>
                  <a:pt x="0" y="29"/>
                </a:lnTo>
                <a:lnTo>
                  <a:pt x="15" y="44"/>
                </a:lnTo>
                <a:lnTo>
                  <a:pt x="0" y="29"/>
                </a:lnTo>
                <a:lnTo>
                  <a:pt x="0" y="44"/>
                </a:lnTo>
                <a:lnTo>
                  <a:pt x="15" y="44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6" name="Freeform 225">
            <a:extLst>
              <a:ext uri="{FF2B5EF4-FFF2-40B4-BE49-F238E27FC236}">
                <a16:creationId xmlns:a16="http://schemas.microsoft.com/office/drawing/2014/main" id="{00000000-0008-0000-0100-0000E2000000}"/>
              </a:ext>
            </a:extLst>
          </xdr:cNvPr>
          <xdr:cNvSpPr/>
        </xdr:nvSpPr>
        <xdr:spPr>
          <a:xfrm>
            <a:off x="10244" y="10194"/>
            <a:ext cx="56" cy="29"/>
          </a:xfrm>
          <a:custGeom>
            <a:avLst/>
            <a:gdLst/>
            <a:ahLst/>
            <a:cxnLst>
              <a:cxn ang="0">
                <a:pos x="53" y="17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6" y="14"/>
              </a:cxn>
              <a:cxn ang="0">
                <a:pos x="53" y="17"/>
              </a:cxn>
              <a:cxn ang="0">
                <a:pos x="56" y="0"/>
              </a:cxn>
              <a:cxn ang="0">
                <a:pos x="38" y="0"/>
              </a:cxn>
              <a:cxn ang="0">
                <a:pos x="53" y="17"/>
              </a:cxn>
            </a:cxnLst>
            <a:rect l="0" t="0" r="r" b="b"/>
            <a:pathLst>
              <a:path w="56" h="29">
                <a:moveTo>
                  <a:pt x="53" y="17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6" y="14"/>
                </a:lnTo>
                <a:lnTo>
                  <a:pt x="53" y="17"/>
                </a:lnTo>
                <a:lnTo>
                  <a:pt x="56" y="0"/>
                </a:lnTo>
                <a:lnTo>
                  <a:pt x="38" y="0"/>
                </a:lnTo>
                <a:lnTo>
                  <a:pt x="53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7" name="Freeform 226">
            <a:extLst>
              <a:ext uri="{FF2B5EF4-FFF2-40B4-BE49-F238E27FC236}">
                <a16:creationId xmlns:a16="http://schemas.microsoft.com/office/drawing/2014/main" id="{00000000-0008-0000-0100-0000E3000000}"/>
              </a:ext>
            </a:extLst>
          </xdr:cNvPr>
          <xdr:cNvSpPr/>
        </xdr:nvSpPr>
        <xdr:spPr>
          <a:xfrm>
            <a:off x="10264" y="10208"/>
            <a:ext cx="33" cy="58"/>
          </a:xfrm>
          <a:custGeom>
            <a:avLst/>
            <a:gdLst/>
            <a:ahLst/>
            <a:cxnLst>
              <a:cxn ang="0">
                <a:pos x="12" y="58"/>
              </a:cxn>
              <a:cxn ang="0">
                <a:pos x="27" y="46"/>
              </a:cxn>
              <a:cxn ang="0">
                <a:pos x="33" y="3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58"/>
              </a:cxn>
              <a:cxn ang="0">
                <a:pos x="24" y="58"/>
              </a:cxn>
              <a:cxn ang="0">
                <a:pos x="27" y="46"/>
              </a:cxn>
              <a:cxn ang="0">
                <a:pos x="12" y="58"/>
              </a:cxn>
            </a:cxnLst>
            <a:rect l="0" t="0" r="r" b="b"/>
            <a:pathLst>
              <a:path w="33" h="58">
                <a:moveTo>
                  <a:pt x="12" y="58"/>
                </a:moveTo>
                <a:lnTo>
                  <a:pt x="27" y="46"/>
                </a:lnTo>
                <a:lnTo>
                  <a:pt x="33" y="3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58"/>
                </a:lnTo>
                <a:lnTo>
                  <a:pt x="24" y="58"/>
                </a:lnTo>
                <a:lnTo>
                  <a:pt x="27" y="46"/>
                </a:lnTo>
                <a:lnTo>
                  <a:pt x="12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8" name="Freeform 227">
            <a:extLst>
              <a:ext uri="{FF2B5EF4-FFF2-40B4-BE49-F238E27FC236}">
                <a16:creationId xmlns:a16="http://schemas.microsoft.com/office/drawing/2014/main" id="{00000000-0008-0000-0100-0000E4000000}"/>
              </a:ext>
            </a:extLst>
          </xdr:cNvPr>
          <xdr:cNvSpPr/>
        </xdr:nvSpPr>
        <xdr:spPr>
          <a:xfrm>
            <a:off x="10173" y="10237"/>
            <a:ext cx="103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5" y="29"/>
              </a:cxn>
              <a:cxn ang="0">
                <a:pos x="103" y="29"/>
              </a:cxn>
              <a:cxn ang="0">
                <a:pos x="103" y="0"/>
              </a:cxn>
              <a:cxn ang="0">
                <a:pos x="15" y="0"/>
              </a:cxn>
              <a:cxn ang="0">
                <a:pos x="30" y="17"/>
              </a:cxn>
              <a:cxn ang="0">
                <a:pos x="3" y="14"/>
              </a:cxn>
              <a:cxn ang="0">
                <a:pos x="0" y="29"/>
              </a:cxn>
              <a:cxn ang="0">
                <a:pos x="15" y="29"/>
              </a:cxn>
              <a:cxn ang="0">
                <a:pos x="3" y="14"/>
              </a:cxn>
            </a:cxnLst>
            <a:rect l="0" t="0" r="r" b="b"/>
            <a:pathLst>
              <a:path w="103" h="29">
                <a:moveTo>
                  <a:pt x="3" y="14"/>
                </a:moveTo>
                <a:lnTo>
                  <a:pt x="15" y="29"/>
                </a:lnTo>
                <a:lnTo>
                  <a:pt x="103" y="29"/>
                </a:lnTo>
                <a:lnTo>
                  <a:pt x="103" y="0"/>
                </a:lnTo>
                <a:lnTo>
                  <a:pt x="15" y="0"/>
                </a:lnTo>
                <a:lnTo>
                  <a:pt x="30" y="17"/>
                </a:lnTo>
                <a:lnTo>
                  <a:pt x="3" y="14"/>
                </a:lnTo>
                <a:lnTo>
                  <a:pt x="0" y="29"/>
                </a:lnTo>
                <a:lnTo>
                  <a:pt x="15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9" name="Freeform 228">
            <a:extLst>
              <a:ext uri="{FF2B5EF4-FFF2-40B4-BE49-F238E27FC236}">
                <a16:creationId xmlns:a16="http://schemas.microsoft.com/office/drawing/2014/main" id="{00000000-0008-0000-0100-0000E5000000}"/>
              </a:ext>
            </a:extLst>
          </xdr:cNvPr>
          <xdr:cNvSpPr/>
        </xdr:nvSpPr>
        <xdr:spPr>
          <a:xfrm>
            <a:off x="10414" y="10058"/>
            <a:ext cx="53" cy="19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3" y="18"/>
              </a:cxn>
              <a:cxn ang="0">
                <a:pos x="42" y="29"/>
              </a:cxn>
              <a:cxn ang="0">
                <a:pos x="42" y="0"/>
              </a:cxn>
              <a:cxn ang="0">
                <a:pos x="30" y="0"/>
              </a:cxn>
              <a:cxn ang="0">
                <a:pos x="27" y="12"/>
              </a:cxn>
              <a:cxn ang="0">
                <a:pos x="42" y="0"/>
              </a:cxn>
            </a:cxnLst>
            <a:rect l="0" t="0" r="r" b="b"/>
            <a:pathLst>
              <a:path w="53" h="196">
                <a:moveTo>
                  <a:pt x="42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3" y="18"/>
                </a:lnTo>
                <a:lnTo>
                  <a:pt x="42" y="29"/>
                </a:lnTo>
                <a:lnTo>
                  <a:pt x="42" y="0"/>
                </a:lnTo>
                <a:lnTo>
                  <a:pt x="30" y="0"/>
                </a:lnTo>
                <a:lnTo>
                  <a:pt x="27" y="12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0" name="Freeform 229">
            <a:extLst>
              <a:ext uri="{FF2B5EF4-FFF2-40B4-BE49-F238E27FC236}">
                <a16:creationId xmlns:a16="http://schemas.microsoft.com/office/drawing/2014/main" id="{00000000-0008-0000-0100-0000E6000000}"/>
              </a:ext>
            </a:extLst>
          </xdr:cNvPr>
          <xdr:cNvSpPr/>
        </xdr:nvSpPr>
        <xdr:spPr>
          <a:xfrm>
            <a:off x="10456" y="10058"/>
            <a:ext cx="61" cy="29"/>
          </a:xfrm>
          <a:custGeom>
            <a:avLst/>
            <a:gdLst/>
            <a:ahLst/>
            <a:cxnLst>
              <a:cxn ang="0">
                <a:pos x="59" y="18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59" y="18"/>
              </a:cxn>
              <a:cxn ang="0">
                <a:pos x="61" y="0"/>
              </a:cxn>
              <a:cxn ang="0">
                <a:pos x="47" y="0"/>
              </a:cxn>
              <a:cxn ang="0">
                <a:pos x="59" y="18"/>
              </a:cxn>
            </a:cxnLst>
            <a:rect l="0" t="0" r="r" b="b"/>
            <a:pathLst>
              <a:path w="61" h="29">
                <a:moveTo>
                  <a:pt x="59" y="18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59" y="18"/>
                </a:lnTo>
                <a:lnTo>
                  <a:pt x="61" y="0"/>
                </a:lnTo>
                <a:lnTo>
                  <a:pt x="47" y="0"/>
                </a:lnTo>
                <a:lnTo>
                  <a:pt x="59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1" name="Freeform 230">
            <a:extLst>
              <a:ext uri="{FF2B5EF4-FFF2-40B4-BE49-F238E27FC236}">
                <a16:creationId xmlns:a16="http://schemas.microsoft.com/office/drawing/2014/main" id="{00000000-0008-0000-0100-0000E7000000}"/>
              </a:ext>
            </a:extLst>
          </xdr:cNvPr>
          <xdr:cNvSpPr/>
        </xdr:nvSpPr>
        <xdr:spPr>
          <a:xfrm>
            <a:off x="10464" y="10070"/>
            <a:ext cx="51" cy="153"/>
          </a:xfrm>
          <a:custGeom>
            <a:avLst/>
            <a:gdLst/>
            <a:ahLst/>
            <a:cxnLst>
              <a:cxn ang="0">
                <a:pos x="18" y="124"/>
              </a:cxn>
              <a:cxn ang="0">
                <a:pos x="30" y="141"/>
              </a:cxn>
              <a:cxn ang="0">
                <a:pos x="51" y="6"/>
              </a:cxn>
              <a:cxn ang="0">
                <a:pos x="24" y="0"/>
              </a:cxn>
              <a:cxn ang="0">
                <a:pos x="3" y="138"/>
              </a:cxn>
              <a:cxn ang="0">
                <a:pos x="18" y="153"/>
              </a:cxn>
              <a:cxn ang="0">
                <a:pos x="3" y="138"/>
              </a:cxn>
              <a:cxn ang="0">
                <a:pos x="0" y="153"/>
              </a:cxn>
              <a:cxn ang="0">
                <a:pos x="18" y="153"/>
              </a:cxn>
              <a:cxn ang="0">
                <a:pos x="18" y="124"/>
              </a:cxn>
            </a:cxnLst>
            <a:rect l="0" t="0" r="r" b="b"/>
            <a:pathLst>
              <a:path w="51" h="153">
                <a:moveTo>
                  <a:pt x="18" y="124"/>
                </a:moveTo>
                <a:lnTo>
                  <a:pt x="30" y="141"/>
                </a:lnTo>
                <a:lnTo>
                  <a:pt x="51" y="6"/>
                </a:lnTo>
                <a:lnTo>
                  <a:pt x="24" y="0"/>
                </a:lnTo>
                <a:lnTo>
                  <a:pt x="3" y="138"/>
                </a:lnTo>
                <a:lnTo>
                  <a:pt x="18" y="153"/>
                </a:lnTo>
                <a:lnTo>
                  <a:pt x="3" y="138"/>
                </a:lnTo>
                <a:lnTo>
                  <a:pt x="0" y="153"/>
                </a:lnTo>
                <a:lnTo>
                  <a:pt x="18" y="153"/>
                </a:lnTo>
                <a:lnTo>
                  <a:pt x="18" y="12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2" name="Freeform 231">
            <a:extLst>
              <a:ext uri="{FF2B5EF4-FFF2-40B4-BE49-F238E27FC236}">
                <a16:creationId xmlns:a16="http://schemas.microsoft.com/office/drawing/2014/main" id="{00000000-0008-0000-0100-0000E8000000}"/>
              </a:ext>
            </a:extLst>
          </xdr:cNvPr>
          <xdr:cNvSpPr/>
        </xdr:nvSpPr>
        <xdr:spPr>
          <a:xfrm>
            <a:off x="10479" y="10194"/>
            <a:ext cx="53" cy="29"/>
          </a:xfrm>
          <a:custGeom>
            <a:avLst/>
            <a:gdLst/>
            <a:ahLst/>
            <a:cxnLst>
              <a:cxn ang="0">
                <a:pos x="50" y="17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4" y="14"/>
              </a:cxn>
              <a:cxn ang="0">
                <a:pos x="50" y="17"/>
              </a:cxn>
              <a:cxn ang="0">
                <a:pos x="53" y="0"/>
              </a:cxn>
              <a:cxn ang="0">
                <a:pos x="38" y="0"/>
              </a:cxn>
              <a:cxn ang="0">
                <a:pos x="50" y="17"/>
              </a:cxn>
            </a:cxnLst>
            <a:rect l="0" t="0" r="r" b="b"/>
            <a:pathLst>
              <a:path w="53" h="29">
                <a:moveTo>
                  <a:pt x="50" y="17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4" y="14"/>
                </a:lnTo>
                <a:lnTo>
                  <a:pt x="50" y="17"/>
                </a:lnTo>
                <a:lnTo>
                  <a:pt x="53" y="0"/>
                </a:lnTo>
                <a:lnTo>
                  <a:pt x="38" y="0"/>
                </a:lnTo>
                <a:lnTo>
                  <a:pt x="5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3" name="Freeform 232">
            <a:extLst>
              <a:ext uri="{FF2B5EF4-FFF2-40B4-BE49-F238E27FC236}">
                <a16:creationId xmlns:a16="http://schemas.microsoft.com/office/drawing/2014/main" id="{00000000-0008-0000-0100-0000E9000000}"/>
              </a:ext>
            </a:extLst>
          </xdr:cNvPr>
          <xdr:cNvSpPr/>
        </xdr:nvSpPr>
        <xdr:spPr>
          <a:xfrm>
            <a:off x="10497" y="10208"/>
            <a:ext cx="32" cy="58"/>
          </a:xfrm>
          <a:custGeom>
            <a:avLst/>
            <a:gdLst/>
            <a:ahLst/>
            <a:cxnLst>
              <a:cxn ang="0">
                <a:pos x="12" y="58"/>
              </a:cxn>
              <a:cxn ang="0">
                <a:pos x="26" y="46"/>
              </a:cxn>
              <a:cxn ang="0">
                <a:pos x="32" y="3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58"/>
              </a:cxn>
              <a:cxn ang="0">
                <a:pos x="26" y="58"/>
              </a:cxn>
              <a:cxn ang="0">
                <a:pos x="26" y="46"/>
              </a:cxn>
              <a:cxn ang="0">
                <a:pos x="12" y="58"/>
              </a:cxn>
            </a:cxnLst>
            <a:rect l="0" t="0" r="r" b="b"/>
            <a:pathLst>
              <a:path w="32" h="58">
                <a:moveTo>
                  <a:pt x="12" y="58"/>
                </a:moveTo>
                <a:lnTo>
                  <a:pt x="26" y="46"/>
                </a:lnTo>
                <a:lnTo>
                  <a:pt x="32" y="3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58"/>
                </a:lnTo>
                <a:lnTo>
                  <a:pt x="26" y="58"/>
                </a:lnTo>
                <a:lnTo>
                  <a:pt x="26" y="46"/>
                </a:lnTo>
                <a:lnTo>
                  <a:pt x="12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4" name="Freeform 233">
            <a:extLst>
              <a:ext uri="{FF2B5EF4-FFF2-40B4-BE49-F238E27FC236}">
                <a16:creationId xmlns:a16="http://schemas.microsoft.com/office/drawing/2014/main" id="{00000000-0008-0000-0100-0000EA000000}"/>
              </a:ext>
            </a:extLst>
          </xdr:cNvPr>
          <xdr:cNvSpPr/>
        </xdr:nvSpPr>
        <xdr:spPr>
          <a:xfrm>
            <a:off x="10412" y="10237"/>
            <a:ext cx="97" cy="29"/>
          </a:xfrm>
          <a:custGeom>
            <a:avLst/>
            <a:gdLst/>
            <a:ahLst/>
            <a:cxnLst>
              <a:cxn ang="0">
                <a:pos x="2" y="14"/>
              </a:cxn>
              <a:cxn ang="0">
                <a:pos x="14" y="29"/>
              </a:cxn>
              <a:cxn ang="0">
                <a:pos x="97" y="29"/>
              </a:cxn>
              <a:cxn ang="0">
                <a:pos x="97" y="0"/>
              </a:cxn>
              <a:cxn ang="0">
                <a:pos x="14" y="0"/>
              </a:cxn>
              <a:cxn ang="0">
                <a:pos x="29" y="17"/>
              </a:cxn>
              <a:cxn ang="0">
                <a:pos x="2" y="14"/>
              </a:cxn>
              <a:cxn ang="0">
                <a:pos x="0" y="29"/>
              </a:cxn>
              <a:cxn ang="0">
                <a:pos x="14" y="29"/>
              </a:cxn>
              <a:cxn ang="0">
                <a:pos x="2" y="14"/>
              </a:cxn>
            </a:cxnLst>
            <a:rect l="0" t="0" r="r" b="b"/>
            <a:pathLst>
              <a:path w="97" h="29">
                <a:moveTo>
                  <a:pt x="2" y="14"/>
                </a:moveTo>
                <a:lnTo>
                  <a:pt x="14" y="29"/>
                </a:lnTo>
                <a:lnTo>
                  <a:pt x="97" y="29"/>
                </a:lnTo>
                <a:lnTo>
                  <a:pt x="97" y="0"/>
                </a:lnTo>
                <a:lnTo>
                  <a:pt x="14" y="0"/>
                </a:lnTo>
                <a:lnTo>
                  <a:pt x="29" y="17"/>
                </a:lnTo>
                <a:lnTo>
                  <a:pt x="2" y="14"/>
                </a:lnTo>
                <a:lnTo>
                  <a:pt x="0" y="29"/>
                </a:lnTo>
                <a:lnTo>
                  <a:pt x="14" y="29"/>
                </a:lnTo>
                <a:lnTo>
                  <a:pt x="2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5" name="Freeform 234">
            <a:extLst>
              <a:ext uri="{FF2B5EF4-FFF2-40B4-BE49-F238E27FC236}">
                <a16:creationId xmlns:a16="http://schemas.microsoft.com/office/drawing/2014/main" id="{00000000-0008-0000-0100-0000EB000000}"/>
              </a:ext>
            </a:extLst>
          </xdr:cNvPr>
          <xdr:cNvSpPr/>
        </xdr:nvSpPr>
        <xdr:spPr>
          <a:xfrm>
            <a:off x="10509" y="10058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8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8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6" name="Freeform 235">
            <a:extLst>
              <a:ext uri="{FF2B5EF4-FFF2-40B4-BE49-F238E27FC236}">
                <a16:creationId xmlns:a16="http://schemas.microsoft.com/office/drawing/2014/main" id="{00000000-0008-0000-0100-0000EC000000}"/>
              </a:ext>
            </a:extLst>
          </xdr:cNvPr>
          <xdr:cNvSpPr/>
        </xdr:nvSpPr>
        <xdr:spPr>
          <a:xfrm>
            <a:off x="10550" y="10058"/>
            <a:ext cx="103" cy="29"/>
          </a:xfrm>
          <a:custGeom>
            <a:avLst/>
            <a:gdLst/>
            <a:ahLst/>
            <a:cxnLst>
              <a:cxn ang="0">
                <a:pos x="100" y="18"/>
              </a:cxn>
              <a:cxn ang="0">
                <a:pos x="85" y="0"/>
              </a:cxn>
              <a:cxn ang="0">
                <a:pos x="0" y="0"/>
              </a:cxn>
              <a:cxn ang="0">
                <a:pos x="0" y="29"/>
              </a:cxn>
              <a:cxn ang="0">
                <a:pos x="85" y="29"/>
              </a:cxn>
              <a:cxn ang="0">
                <a:pos x="73" y="12"/>
              </a:cxn>
              <a:cxn ang="0">
                <a:pos x="100" y="18"/>
              </a:cxn>
              <a:cxn ang="0">
                <a:pos x="103" y="0"/>
              </a:cxn>
              <a:cxn ang="0">
                <a:pos x="85" y="0"/>
              </a:cxn>
              <a:cxn ang="0">
                <a:pos x="100" y="18"/>
              </a:cxn>
            </a:cxnLst>
            <a:rect l="0" t="0" r="r" b="b"/>
            <a:pathLst>
              <a:path w="103" h="29">
                <a:moveTo>
                  <a:pt x="100" y="18"/>
                </a:moveTo>
                <a:lnTo>
                  <a:pt x="85" y="0"/>
                </a:lnTo>
                <a:lnTo>
                  <a:pt x="0" y="0"/>
                </a:lnTo>
                <a:lnTo>
                  <a:pt x="0" y="29"/>
                </a:lnTo>
                <a:lnTo>
                  <a:pt x="85" y="29"/>
                </a:lnTo>
                <a:lnTo>
                  <a:pt x="73" y="12"/>
                </a:lnTo>
                <a:lnTo>
                  <a:pt x="100" y="18"/>
                </a:lnTo>
                <a:lnTo>
                  <a:pt x="103" y="0"/>
                </a:lnTo>
                <a:lnTo>
                  <a:pt x="85" y="0"/>
                </a:lnTo>
                <a:lnTo>
                  <a:pt x="100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7" name="Freeform 236">
            <a:extLst>
              <a:ext uri="{FF2B5EF4-FFF2-40B4-BE49-F238E27FC236}">
                <a16:creationId xmlns:a16="http://schemas.microsoft.com/office/drawing/2014/main" id="{00000000-0008-0000-0100-0000ED000000}"/>
              </a:ext>
            </a:extLst>
          </xdr:cNvPr>
          <xdr:cNvSpPr/>
        </xdr:nvSpPr>
        <xdr:spPr>
          <a:xfrm>
            <a:off x="10615" y="10070"/>
            <a:ext cx="35" cy="60"/>
          </a:xfrm>
          <a:custGeom>
            <a:avLst/>
            <a:gdLst/>
            <a:ahLst/>
            <a:cxnLst>
              <a:cxn ang="0">
                <a:pos x="14" y="60"/>
              </a:cxn>
              <a:cxn ang="0">
                <a:pos x="29" y="49"/>
              </a:cxn>
              <a:cxn ang="0">
                <a:pos x="35" y="6"/>
              </a:cxn>
              <a:cxn ang="0">
                <a:pos x="8" y="0"/>
              </a:cxn>
              <a:cxn ang="0">
                <a:pos x="0" y="43"/>
              </a:cxn>
              <a:cxn ang="0">
                <a:pos x="14" y="32"/>
              </a:cxn>
              <a:cxn ang="0">
                <a:pos x="14" y="60"/>
              </a:cxn>
              <a:cxn ang="0">
                <a:pos x="26" y="60"/>
              </a:cxn>
              <a:cxn ang="0">
                <a:pos x="29" y="49"/>
              </a:cxn>
              <a:cxn ang="0">
                <a:pos x="14" y="60"/>
              </a:cxn>
            </a:cxnLst>
            <a:rect l="0" t="0" r="r" b="b"/>
            <a:pathLst>
              <a:path w="35" h="60">
                <a:moveTo>
                  <a:pt x="14" y="60"/>
                </a:moveTo>
                <a:lnTo>
                  <a:pt x="29" y="49"/>
                </a:lnTo>
                <a:lnTo>
                  <a:pt x="35" y="6"/>
                </a:lnTo>
                <a:lnTo>
                  <a:pt x="8" y="0"/>
                </a:lnTo>
                <a:lnTo>
                  <a:pt x="0" y="43"/>
                </a:lnTo>
                <a:lnTo>
                  <a:pt x="14" y="32"/>
                </a:lnTo>
                <a:lnTo>
                  <a:pt x="14" y="60"/>
                </a:lnTo>
                <a:lnTo>
                  <a:pt x="26" y="60"/>
                </a:lnTo>
                <a:lnTo>
                  <a:pt x="29" y="49"/>
                </a:lnTo>
                <a:lnTo>
                  <a:pt x="14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8" name="Freeform 237">
            <a:extLst>
              <a:ext uri="{FF2B5EF4-FFF2-40B4-BE49-F238E27FC236}">
                <a16:creationId xmlns:a16="http://schemas.microsoft.com/office/drawing/2014/main" id="{00000000-0008-0000-0100-0000EE000000}"/>
              </a:ext>
            </a:extLst>
          </xdr:cNvPr>
          <xdr:cNvSpPr/>
        </xdr:nvSpPr>
        <xdr:spPr>
          <a:xfrm>
            <a:off x="10576" y="10102"/>
            <a:ext cx="53" cy="28"/>
          </a:xfrm>
          <a:custGeom>
            <a:avLst/>
            <a:gdLst/>
            <a:ahLst/>
            <a:cxnLst>
              <a:cxn ang="0">
                <a:pos x="27" y="17"/>
              </a:cxn>
              <a:cxn ang="0">
                <a:pos x="12" y="28"/>
              </a:cxn>
              <a:cxn ang="0">
                <a:pos x="53" y="28"/>
              </a:cxn>
              <a:cxn ang="0">
                <a:pos x="53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7" y="17"/>
              </a:cxn>
            </a:cxnLst>
            <a:rect l="0" t="0" r="r" b="b"/>
            <a:pathLst>
              <a:path w="53" h="28">
                <a:moveTo>
                  <a:pt x="27" y="17"/>
                </a:moveTo>
                <a:lnTo>
                  <a:pt x="12" y="28"/>
                </a:lnTo>
                <a:lnTo>
                  <a:pt x="53" y="28"/>
                </a:lnTo>
                <a:lnTo>
                  <a:pt x="53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7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9" name="Freeform 238">
            <a:extLst>
              <a:ext uri="{FF2B5EF4-FFF2-40B4-BE49-F238E27FC236}">
                <a16:creationId xmlns:a16="http://schemas.microsoft.com/office/drawing/2014/main" id="{00000000-0008-0000-0100-0000EF000000}"/>
              </a:ext>
            </a:extLst>
          </xdr:cNvPr>
          <xdr:cNvSpPr/>
        </xdr:nvSpPr>
        <xdr:spPr>
          <a:xfrm>
            <a:off x="10570" y="10113"/>
            <a:ext cx="33" cy="40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30" y="29"/>
              </a:cxn>
              <a:cxn ang="0">
                <a:pos x="33" y="6"/>
              </a:cxn>
              <a:cxn ang="0">
                <a:pos x="6" y="0"/>
              </a:cxn>
              <a:cxn ang="0">
                <a:pos x="0" y="26"/>
              </a:cxn>
              <a:cxn ang="0">
                <a:pos x="15" y="40"/>
              </a:cxn>
              <a:cxn ang="0">
                <a:pos x="0" y="26"/>
              </a:cxn>
              <a:cxn ang="0">
                <a:pos x="0" y="40"/>
              </a:cxn>
              <a:cxn ang="0">
                <a:pos x="15" y="40"/>
              </a:cxn>
              <a:cxn ang="0">
                <a:pos x="15" y="15"/>
              </a:cxn>
            </a:cxnLst>
            <a:rect l="0" t="0" r="r" b="b"/>
            <a:pathLst>
              <a:path w="33" h="40">
                <a:moveTo>
                  <a:pt x="15" y="15"/>
                </a:moveTo>
                <a:lnTo>
                  <a:pt x="30" y="29"/>
                </a:lnTo>
                <a:lnTo>
                  <a:pt x="33" y="6"/>
                </a:lnTo>
                <a:lnTo>
                  <a:pt x="6" y="0"/>
                </a:lnTo>
                <a:lnTo>
                  <a:pt x="0" y="26"/>
                </a:lnTo>
                <a:lnTo>
                  <a:pt x="15" y="40"/>
                </a:lnTo>
                <a:lnTo>
                  <a:pt x="0" y="26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0" name="Freeform 239">
            <a:extLst>
              <a:ext uri="{FF2B5EF4-FFF2-40B4-BE49-F238E27FC236}">
                <a16:creationId xmlns:a16="http://schemas.microsoft.com/office/drawing/2014/main" id="{00000000-0008-0000-0100-0000F0000000}"/>
              </a:ext>
            </a:extLst>
          </xdr:cNvPr>
          <xdr:cNvSpPr/>
        </xdr:nvSpPr>
        <xdr:spPr>
          <a:xfrm>
            <a:off x="10585" y="10128"/>
            <a:ext cx="53" cy="25"/>
          </a:xfrm>
          <a:custGeom>
            <a:avLst/>
            <a:gdLst/>
            <a:ahLst/>
            <a:cxnLst>
              <a:cxn ang="0">
                <a:pos x="50" y="14"/>
              </a:cxn>
              <a:cxn ang="0">
                <a:pos x="38" y="0"/>
              </a:cxn>
              <a:cxn ang="0">
                <a:pos x="0" y="0"/>
              </a:cxn>
              <a:cxn ang="0">
                <a:pos x="0" y="25"/>
              </a:cxn>
              <a:cxn ang="0">
                <a:pos x="38" y="25"/>
              </a:cxn>
              <a:cxn ang="0">
                <a:pos x="24" y="8"/>
              </a:cxn>
              <a:cxn ang="0">
                <a:pos x="50" y="14"/>
              </a:cxn>
              <a:cxn ang="0">
                <a:pos x="53" y="0"/>
              </a:cxn>
              <a:cxn ang="0">
                <a:pos x="38" y="0"/>
              </a:cxn>
              <a:cxn ang="0">
                <a:pos x="50" y="14"/>
              </a:cxn>
            </a:cxnLst>
            <a:rect l="0" t="0" r="r" b="b"/>
            <a:pathLst>
              <a:path w="53" h="25">
                <a:moveTo>
                  <a:pt x="50" y="14"/>
                </a:moveTo>
                <a:lnTo>
                  <a:pt x="38" y="0"/>
                </a:lnTo>
                <a:lnTo>
                  <a:pt x="0" y="0"/>
                </a:lnTo>
                <a:lnTo>
                  <a:pt x="0" y="25"/>
                </a:lnTo>
                <a:lnTo>
                  <a:pt x="38" y="25"/>
                </a:lnTo>
                <a:lnTo>
                  <a:pt x="24" y="8"/>
                </a:lnTo>
                <a:lnTo>
                  <a:pt x="50" y="14"/>
                </a:lnTo>
                <a:lnTo>
                  <a:pt x="53" y="0"/>
                </a:lnTo>
                <a:lnTo>
                  <a:pt x="38" y="0"/>
                </a:lnTo>
                <a:lnTo>
                  <a:pt x="5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1" name="Freeform 240">
            <a:extLst>
              <a:ext uri="{FF2B5EF4-FFF2-40B4-BE49-F238E27FC236}">
                <a16:creationId xmlns:a16="http://schemas.microsoft.com/office/drawing/2014/main" id="{00000000-0008-0000-0100-0000F1000000}"/>
              </a:ext>
            </a:extLst>
          </xdr:cNvPr>
          <xdr:cNvSpPr/>
        </xdr:nvSpPr>
        <xdr:spPr>
          <a:xfrm>
            <a:off x="10600" y="10136"/>
            <a:ext cx="35" cy="61"/>
          </a:xfrm>
          <a:custGeom>
            <a:avLst/>
            <a:gdLst/>
            <a:ahLst/>
            <a:cxnLst>
              <a:cxn ang="0">
                <a:pos x="15" y="61"/>
              </a:cxn>
              <a:cxn ang="0">
                <a:pos x="29" y="49"/>
              </a:cxn>
              <a:cxn ang="0">
                <a:pos x="35" y="6"/>
              </a:cxn>
              <a:cxn ang="0">
                <a:pos x="9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1"/>
              </a:cxn>
              <a:cxn ang="0">
                <a:pos x="26" y="61"/>
              </a:cxn>
              <a:cxn ang="0">
                <a:pos x="29" y="49"/>
              </a:cxn>
              <a:cxn ang="0">
                <a:pos x="15" y="61"/>
              </a:cxn>
            </a:cxnLst>
            <a:rect l="0" t="0" r="r" b="b"/>
            <a:pathLst>
              <a:path w="35" h="61">
                <a:moveTo>
                  <a:pt x="15" y="61"/>
                </a:moveTo>
                <a:lnTo>
                  <a:pt x="29" y="49"/>
                </a:lnTo>
                <a:lnTo>
                  <a:pt x="35" y="6"/>
                </a:lnTo>
                <a:lnTo>
                  <a:pt x="9" y="0"/>
                </a:lnTo>
                <a:lnTo>
                  <a:pt x="0" y="43"/>
                </a:lnTo>
                <a:lnTo>
                  <a:pt x="15" y="32"/>
                </a:lnTo>
                <a:lnTo>
                  <a:pt x="15" y="61"/>
                </a:lnTo>
                <a:lnTo>
                  <a:pt x="26" y="61"/>
                </a:lnTo>
                <a:lnTo>
                  <a:pt x="29" y="49"/>
                </a:lnTo>
                <a:lnTo>
                  <a:pt x="15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2" name="Freeform 241">
            <a:extLst>
              <a:ext uri="{FF2B5EF4-FFF2-40B4-BE49-F238E27FC236}">
                <a16:creationId xmlns:a16="http://schemas.microsoft.com/office/drawing/2014/main" id="{00000000-0008-0000-0100-0000F2000000}"/>
              </a:ext>
            </a:extLst>
          </xdr:cNvPr>
          <xdr:cNvSpPr/>
        </xdr:nvSpPr>
        <xdr:spPr>
          <a:xfrm>
            <a:off x="10565" y="10168"/>
            <a:ext cx="50" cy="29"/>
          </a:xfrm>
          <a:custGeom>
            <a:avLst/>
            <a:gdLst/>
            <a:ahLst/>
            <a:cxnLst>
              <a:cxn ang="0">
                <a:pos x="29" y="17"/>
              </a:cxn>
              <a:cxn ang="0">
                <a:pos x="14" y="29"/>
              </a:cxn>
              <a:cxn ang="0">
                <a:pos x="50" y="29"/>
              </a:cxn>
              <a:cxn ang="0">
                <a:pos x="50" y="0"/>
              </a:cxn>
              <a:cxn ang="0">
                <a:pos x="14" y="0"/>
              </a:cxn>
              <a:cxn ang="0">
                <a:pos x="0" y="11"/>
              </a:cxn>
              <a:cxn ang="0">
                <a:pos x="14" y="0"/>
              </a:cxn>
              <a:cxn ang="0">
                <a:pos x="2" y="0"/>
              </a:cxn>
              <a:cxn ang="0">
                <a:pos x="0" y="11"/>
              </a:cxn>
              <a:cxn ang="0">
                <a:pos x="29" y="17"/>
              </a:cxn>
            </a:cxnLst>
            <a:rect l="0" t="0" r="r" b="b"/>
            <a:pathLst>
              <a:path w="50" h="29">
                <a:moveTo>
                  <a:pt x="29" y="17"/>
                </a:moveTo>
                <a:lnTo>
                  <a:pt x="14" y="29"/>
                </a:lnTo>
                <a:lnTo>
                  <a:pt x="50" y="29"/>
                </a:lnTo>
                <a:lnTo>
                  <a:pt x="50" y="0"/>
                </a:lnTo>
                <a:lnTo>
                  <a:pt x="14" y="0"/>
                </a:lnTo>
                <a:lnTo>
                  <a:pt x="0" y="11"/>
                </a:lnTo>
                <a:lnTo>
                  <a:pt x="14" y="0"/>
                </a:lnTo>
                <a:lnTo>
                  <a:pt x="2" y="0"/>
                </a:lnTo>
                <a:lnTo>
                  <a:pt x="0" y="11"/>
                </a:lnTo>
                <a:lnTo>
                  <a:pt x="29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3" name="Freeform 242">
            <a:extLst>
              <a:ext uri="{FF2B5EF4-FFF2-40B4-BE49-F238E27FC236}">
                <a16:creationId xmlns:a16="http://schemas.microsoft.com/office/drawing/2014/main" id="{00000000-0008-0000-0100-0000F3000000}"/>
              </a:ext>
            </a:extLst>
          </xdr:cNvPr>
          <xdr:cNvSpPr/>
        </xdr:nvSpPr>
        <xdr:spPr>
          <a:xfrm>
            <a:off x="10559" y="10179"/>
            <a:ext cx="35" cy="44"/>
          </a:xfrm>
          <a:custGeom>
            <a:avLst/>
            <a:gdLst/>
            <a:ahLst/>
            <a:cxnLst>
              <a:cxn ang="0">
                <a:pos x="17" y="15"/>
              </a:cxn>
              <a:cxn ang="0">
                <a:pos x="29" y="32"/>
              </a:cxn>
              <a:cxn ang="0">
                <a:pos x="35" y="6"/>
              </a:cxn>
              <a:cxn ang="0">
                <a:pos x="6" y="0"/>
              </a:cxn>
              <a:cxn ang="0">
                <a:pos x="3" y="29"/>
              </a:cxn>
              <a:cxn ang="0">
                <a:pos x="17" y="44"/>
              </a:cxn>
              <a:cxn ang="0">
                <a:pos x="3" y="29"/>
              </a:cxn>
              <a:cxn ang="0">
                <a:pos x="0" y="44"/>
              </a:cxn>
              <a:cxn ang="0">
                <a:pos x="17" y="44"/>
              </a:cxn>
              <a:cxn ang="0">
                <a:pos x="17" y="15"/>
              </a:cxn>
            </a:cxnLst>
            <a:rect l="0" t="0" r="r" b="b"/>
            <a:pathLst>
              <a:path w="35" h="44">
                <a:moveTo>
                  <a:pt x="17" y="15"/>
                </a:moveTo>
                <a:lnTo>
                  <a:pt x="29" y="32"/>
                </a:lnTo>
                <a:lnTo>
                  <a:pt x="35" y="6"/>
                </a:lnTo>
                <a:lnTo>
                  <a:pt x="6" y="0"/>
                </a:lnTo>
                <a:lnTo>
                  <a:pt x="3" y="29"/>
                </a:lnTo>
                <a:lnTo>
                  <a:pt x="17" y="44"/>
                </a:lnTo>
                <a:lnTo>
                  <a:pt x="3" y="29"/>
                </a:lnTo>
                <a:lnTo>
                  <a:pt x="0" y="44"/>
                </a:lnTo>
                <a:lnTo>
                  <a:pt x="17" y="44"/>
                </a:lnTo>
                <a:lnTo>
                  <a:pt x="17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4" name="Freeform 243">
            <a:extLst>
              <a:ext uri="{FF2B5EF4-FFF2-40B4-BE49-F238E27FC236}">
                <a16:creationId xmlns:a16="http://schemas.microsoft.com/office/drawing/2014/main" id="{00000000-0008-0000-0100-0000F4000000}"/>
              </a:ext>
            </a:extLst>
          </xdr:cNvPr>
          <xdr:cNvSpPr/>
        </xdr:nvSpPr>
        <xdr:spPr>
          <a:xfrm>
            <a:off x="10576" y="10194"/>
            <a:ext cx="53" cy="29"/>
          </a:xfrm>
          <a:custGeom>
            <a:avLst/>
            <a:gdLst/>
            <a:ahLst/>
            <a:cxnLst>
              <a:cxn ang="0">
                <a:pos x="53" y="17"/>
              </a:cxn>
              <a:cxn ang="0">
                <a:pos x="39" y="0"/>
              </a:cxn>
              <a:cxn ang="0">
                <a:pos x="0" y="0"/>
              </a:cxn>
              <a:cxn ang="0">
                <a:pos x="0" y="29"/>
              </a:cxn>
              <a:cxn ang="0">
                <a:pos x="39" y="29"/>
              </a:cxn>
              <a:cxn ang="0">
                <a:pos x="24" y="14"/>
              </a:cxn>
              <a:cxn ang="0">
                <a:pos x="53" y="17"/>
              </a:cxn>
              <a:cxn ang="0">
                <a:pos x="53" y="0"/>
              </a:cxn>
              <a:cxn ang="0">
                <a:pos x="39" y="0"/>
              </a:cxn>
              <a:cxn ang="0">
                <a:pos x="53" y="17"/>
              </a:cxn>
            </a:cxnLst>
            <a:rect l="0" t="0" r="r" b="b"/>
            <a:pathLst>
              <a:path w="53" h="29">
                <a:moveTo>
                  <a:pt x="53" y="17"/>
                </a:moveTo>
                <a:lnTo>
                  <a:pt x="39" y="0"/>
                </a:lnTo>
                <a:lnTo>
                  <a:pt x="0" y="0"/>
                </a:lnTo>
                <a:lnTo>
                  <a:pt x="0" y="29"/>
                </a:lnTo>
                <a:lnTo>
                  <a:pt x="39" y="29"/>
                </a:lnTo>
                <a:lnTo>
                  <a:pt x="24" y="14"/>
                </a:lnTo>
                <a:lnTo>
                  <a:pt x="53" y="17"/>
                </a:lnTo>
                <a:lnTo>
                  <a:pt x="53" y="0"/>
                </a:lnTo>
                <a:lnTo>
                  <a:pt x="39" y="0"/>
                </a:lnTo>
                <a:lnTo>
                  <a:pt x="53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5" name="Freeform 244">
            <a:extLst>
              <a:ext uri="{FF2B5EF4-FFF2-40B4-BE49-F238E27FC236}">
                <a16:creationId xmlns:a16="http://schemas.microsoft.com/office/drawing/2014/main" id="{00000000-0008-0000-0100-0000F5000000}"/>
              </a:ext>
            </a:extLst>
          </xdr:cNvPr>
          <xdr:cNvSpPr/>
        </xdr:nvSpPr>
        <xdr:spPr>
          <a:xfrm>
            <a:off x="10594" y="10208"/>
            <a:ext cx="35" cy="58"/>
          </a:xfrm>
          <a:custGeom>
            <a:avLst/>
            <a:gdLst/>
            <a:ahLst/>
            <a:cxnLst>
              <a:cxn ang="0">
                <a:pos x="15" y="58"/>
              </a:cxn>
              <a:cxn ang="0">
                <a:pos x="29" y="46"/>
              </a:cxn>
              <a:cxn ang="0">
                <a:pos x="35" y="3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58"/>
              </a:cxn>
              <a:cxn ang="0">
                <a:pos x="26" y="58"/>
              </a:cxn>
              <a:cxn ang="0">
                <a:pos x="29" y="46"/>
              </a:cxn>
              <a:cxn ang="0">
                <a:pos x="15" y="58"/>
              </a:cxn>
            </a:cxnLst>
            <a:rect l="0" t="0" r="r" b="b"/>
            <a:pathLst>
              <a:path w="35" h="58">
                <a:moveTo>
                  <a:pt x="15" y="58"/>
                </a:moveTo>
                <a:lnTo>
                  <a:pt x="29" y="46"/>
                </a:lnTo>
                <a:lnTo>
                  <a:pt x="35" y="3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58"/>
                </a:lnTo>
                <a:lnTo>
                  <a:pt x="26" y="58"/>
                </a:lnTo>
                <a:lnTo>
                  <a:pt x="29" y="46"/>
                </a:lnTo>
                <a:lnTo>
                  <a:pt x="15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6" name="Freeform 245">
            <a:extLst>
              <a:ext uri="{FF2B5EF4-FFF2-40B4-BE49-F238E27FC236}">
                <a16:creationId xmlns:a16="http://schemas.microsoft.com/office/drawing/2014/main" id="{00000000-0008-0000-0100-0000F6000000}"/>
              </a:ext>
            </a:extLst>
          </xdr:cNvPr>
          <xdr:cNvSpPr/>
        </xdr:nvSpPr>
        <xdr:spPr>
          <a:xfrm>
            <a:off x="10506" y="10237"/>
            <a:ext cx="103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4" y="29"/>
              </a:cxn>
              <a:cxn ang="0">
                <a:pos x="103" y="29"/>
              </a:cxn>
              <a:cxn ang="0">
                <a:pos x="103" y="0"/>
              </a:cxn>
              <a:cxn ang="0">
                <a:pos x="14" y="0"/>
              </a:cxn>
              <a:cxn ang="0">
                <a:pos x="29" y="17"/>
              </a:cxn>
              <a:cxn ang="0">
                <a:pos x="3" y="14"/>
              </a:cxn>
              <a:cxn ang="0">
                <a:pos x="0" y="29"/>
              </a:cxn>
              <a:cxn ang="0">
                <a:pos x="14" y="29"/>
              </a:cxn>
              <a:cxn ang="0">
                <a:pos x="3" y="14"/>
              </a:cxn>
            </a:cxnLst>
            <a:rect l="0" t="0" r="r" b="b"/>
            <a:pathLst>
              <a:path w="103" h="29">
                <a:moveTo>
                  <a:pt x="3" y="14"/>
                </a:moveTo>
                <a:lnTo>
                  <a:pt x="14" y="29"/>
                </a:lnTo>
                <a:lnTo>
                  <a:pt x="103" y="29"/>
                </a:lnTo>
                <a:lnTo>
                  <a:pt x="103" y="0"/>
                </a:lnTo>
                <a:lnTo>
                  <a:pt x="14" y="0"/>
                </a:lnTo>
                <a:lnTo>
                  <a:pt x="29" y="17"/>
                </a:lnTo>
                <a:lnTo>
                  <a:pt x="3" y="14"/>
                </a:lnTo>
                <a:lnTo>
                  <a:pt x="0" y="29"/>
                </a:lnTo>
                <a:lnTo>
                  <a:pt x="14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7" name="Freeform 246">
            <a:extLst>
              <a:ext uri="{FF2B5EF4-FFF2-40B4-BE49-F238E27FC236}">
                <a16:creationId xmlns:a16="http://schemas.microsoft.com/office/drawing/2014/main" id="{00000000-0008-0000-0100-0000F7000000}"/>
              </a:ext>
            </a:extLst>
          </xdr:cNvPr>
          <xdr:cNvSpPr/>
        </xdr:nvSpPr>
        <xdr:spPr>
          <a:xfrm>
            <a:off x="10667" y="10179"/>
            <a:ext cx="33" cy="44"/>
          </a:xfrm>
          <a:custGeom>
            <a:avLst/>
            <a:gdLst/>
            <a:ahLst/>
            <a:cxnLst>
              <a:cxn ang="0">
                <a:pos x="27" y="18"/>
              </a:cxn>
              <a:cxn ang="0">
                <a:pos x="27" y="18"/>
              </a:cxn>
              <a:cxn ang="0">
                <a:pos x="30" y="18"/>
              </a:cxn>
              <a:cxn ang="0">
                <a:pos x="30" y="18"/>
              </a:cxn>
              <a:cxn ang="0">
                <a:pos x="33" y="21"/>
              </a:cxn>
              <a:cxn ang="0">
                <a:pos x="33" y="21"/>
              </a:cxn>
              <a:cxn ang="0">
                <a:pos x="30" y="15"/>
              </a:cxn>
              <a:cxn ang="0">
                <a:pos x="30" y="12"/>
              </a:cxn>
              <a:cxn ang="0">
                <a:pos x="30" y="6"/>
              </a:cxn>
              <a:cxn ang="0">
                <a:pos x="30" y="0"/>
              </a:cxn>
              <a:cxn ang="0">
                <a:pos x="0" y="0"/>
              </a:cxn>
              <a:cxn ang="0">
                <a:pos x="0" y="9"/>
              </a:cxn>
              <a:cxn ang="0">
                <a:pos x="3" y="15"/>
              </a:cxn>
              <a:cxn ang="0">
                <a:pos x="3" y="23"/>
              </a:cxn>
              <a:cxn ang="0">
                <a:pos x="6" y="29"/>
              </a:cxn>
              <a:cxn ang="0">
                <a:pos x="9" y="35"/>
              </a:cxn>
              <a:cxn ang="0">
                <a:pos x="15" y="41"/>
              </a:cxn>
              <a:cxn ang="0">
                <a:pos x="21" y="44"/>
              </a:cxn>
              <a:cxn ang="0">
                <a:pos x="27" y="44"/>
              </a:cxn>
              <a:cxn ang="0">
                <a:pos x="27" y="18"/>
              </a:cxn>
            </a:cxnLst>
            <a:rect l="0" t="0" r="r" b="b"/>
            <a:pathLst>
              <a:path w="33" h="44">
                <a:moveTo>
                  <a:pt x="27" y="18"/>
                </a:moveTo>
                <a:lnTo>
                  <a:pt x="27" y="18"/>
                </a:lnTo>
                <a:lnTo>
                  <a:pt x="30" y="18"/>
                </a:lnTo>
                <a:lnTo>
                  <a:pt x="30" y="18"/>
                </a:lnTo>
                <a:lnTo>
                  <a:pt x="33" y="21"/>
                </a:lnTo>
                <a:lnTo>
                  <a:pt x="33" y="21"/>
                </a:lnTo>
                <a:lnTo>
                  <a:pt x="30" y="15"/>
                </a:lnTo>
                <a:lnTo>
                  <a:pt x="30" y="12"/>
                </a:lnTo>
                <a:lnTo>
                  <a:pt x="30" y="6"/>
                </a:lnTo>
                <a:lnTo>
                  <a:pt x="30" y="0"/>
                </a:lnTo>
                <a:lnTo>
                  <a:pt x="0" y="0"/>
                </a:lnTo>
                <a:lnTo>
                  <a:pt x="0" y="9"/>
                </a:lnTo>
                <a:lnTo>
                  <a:pt x="3" y="15"/>
                </a:lnTo>
                <a:lnTo>
                  <a:pt x="3" y="23"/>
                </a:lnTo>
                <a:lnTo>
                  <a:pt x="6" y="29"/>
                </a:lnTo>
                <a:lnTo>
                  <a:pt x="9" y="35"/>
                </a:lnTo>
                <a:lnTo>
                  <a:pt x="15" y="41"/>
                </a:lnTo>
                <a:lnTo>
                  <a:pt x="21" y="44"/>
                </a:lnTo>
                <a:lnTo>
                  <a:pt x="27" y="44"/>
                </a:lnTo>
                <a:lnTo>
                  <a:pt x="27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8" name="Freeform 247">
            <a:extLst>
              <a:ext uri="{FF2B5EF4-FFF2-40B4-BE49-F238E27FC236}">
                <a16:creationId xmlns:a16="http://schemas.microsoft.com/office/drawing/2014/main" id="{00000000-0008-0000-0100-0000F8000000}"/>
              </a:ext>
            </a:extLst>
          </xdr:cNvPr>
          <xdr:cNvSpPr/>
        </xdr:nvSpPr>
        <xdr:spPr>
          <a:xfrm>
            <a:off x="10697" y="10197"/>
            <a:ext cx="1" cy="2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14"/>
              </a:cxn>
              <a:cxn ang="0">
                <a:pos x="0" y="26"/>
              </a:cxn>
              <a:cxn ang="0">
                <a:pos x="0" y="0"/>
              </a:cxn>
            </a:cxnLst>
            <a:rect l="0" t="0" r="r" b="b"/>
            <a:pathLst>
              <a:path h="26">
                <a:moveTo>
                  <a:pt x="0" y="0"/>
                </a:moveTo>
                <a:lnTo>
                  <a:pt x="0" y="14"/>
                </a:lnTo>
                <a:lnTo>
                  <a:pt x="0" y="2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9" name="Freeform 248">
            <a:extLst>
              <a:ext uri="{FF2B5EF4-FFF2-40B4-BE49-F238E27FC236}">
                <a16:creationId xmlns:a16="http://schemas.microsoft.com/office/drawing/2014/main" id="{00000000-0008-0000-0100-0000F9000000}"/>
              </a:ext>
            </a:extLst>
          </xdr:cNvPr>
          <xdr:cNvSpPr/>
        </xdr:nvSpPr>
        <xdr:spPr>
          <a:xfrm>
            <a:off x="10694" y="10197"/>
            <a:ext cx="6" cy="2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3" y="0"/>
              </a:cxn>
              <a:cxn ang="0">
                <a:pos x="3" y="14"/>
              </a:cxn>
              <a:cxn ang="0">
                <a:pos x="3" y="14"/>
              </a:cxn>
              <a:cxn ang="0">
                <a:pos x="3" y="14"/>
              </a:cxn>
              <a:cxn ang="0">
                <a:pos x="0" y="0"/>
              </a:cxn>
              <a:cxn ang="0">
                <a:pos x="0" y="26"/>
              </a:cxn>
              <a:cxn ang="0">
                <a:pos x="3" y="14"/>
              </a:cxn>
              <a:cxn ang="0">
                <a:pos x="3" y="14"/>
              </a:cxn>
              <a:cxn ang="0">
                <a:pos x="3" y="14"/>
              </a:cxn>
              <a:cxn ang="0">
                <a:pos x="3" y="26"/>
              </a:cxn>
              <a:cxn ang="0">
                <a:pos x="6" y="26"/>
              </a:cxn>
              <a:cxn ang="0">
                <a:pos x="0" y="0"/>
              </a:cxn>
            </a:cxnLst>
            <a:rect l="0" t="0" r="r" b="b"/>
            <a:pathLst>
              <a:path w="6" h="26">
                <a:moveTo>
                  <a:pt x="0" y="0"/>
                </a:moveTo>
                <a:lnTo>
                  <a:pt x="3" y="0"/>
                </a:lnTo>
                <a:lnTo>
                  <a:pt x="3" y="14"/>
                </a:lnTo>
                <a:lnTo>
                  <a:pt x="3" y="14"/>
                </a:lnTo>
                <a:lnTo>
                  <a:pt x="3" y="14"/>
                </a:lnTo>
                <a:lnTo>
                  <a:pt x="0" y="0"/>
                </a:lnTo>
                <a:lnTo>
                  <a:pt x="0" y="26"/>
                </a:lnTo>
                <a:lnTo>
                  <a:pt x="3" y="14"/>
                </a:lnTo>
                <a:lnTo>
                  <a:pt x="3" y="14"/>
                </a:lnTo>
                <a:lnTo>
                  <a:pt x="3" y="14"/>
                </a:lnTo>
                <a:lnTo>
                  <a:pt x="3" y="26"/>
                </a:lnTo>
                <a:lnTo>
                  <a:pt x="6" y="2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0" name="Freeform 249">
            <a:extLst>
              <a:ext uri="{FF2B5EF4-FFF2-40B4-BE49-F238E27FC236}">
                <a16:creationId xmlns:a16="http://schemas.microsoft.com/office/drawing/2014/main" id="{00000000-0008-0000-0100-0000FA000000}"/>
              </a:ext>
            </a:extLst>
          </xdr:cNvPr>
          <xdr:cNvSpPr/>
        </xdr:nvSpPr>
        <xdr:spPr>
          <a:xfrm>
            <a:off x="10694" y="10185"/>
            <a:ext cx="35" cy="38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6" y="0"/>
              </a:cxn>
              <a:cxn ang="0">
                <a:pos x="6" y="3"/>
              </a:cxn>
              <a:cxn ang="0">
                <a:pos x="6" y="6"/>
              </a:cxn>
              <a:cxn ang="0">
                <a:pos x="3" y="9"/>
              </a:cxn>
              <a:cxn ang="0">
                <a:pos x="3" y="9"/>
              </a:cxn>
              <a:cxn ang="0">
                <a:pos x="3" y="9"/>
              </a:cxn>
              <a:cxn ang="0">
                <a:pos x="3" y="12"/>
              </a:cxn>
              <a:cxn ang="0">
                <a:pos x="0" y="12"/>
              </a:cxn>
              <a:cxn ang="0">
                <a:pos x="6" y="38"/>
              </a:cxn>
              <a:cxn ang="0">
                <a:pos x="9" y="38"/>
              </a:cxn>
              <a:cxn ang="0">
                <a:pos x="15" y="35"/>
              </a:cxn>
              <a:cxn ang="0">
                <a:pos x="18" y="32"/>
              </a:cxn>
              <a:cxn ang="0">
                <a:pos x="24" y="29"/>
              </a:cxn>
              <a:cxn ang="0">
                <a:pos x="26" y="23"/>
              </a:cxn>
              <a:cxn ang="0">
                <a:pos x="29" y="20"/>
              </a:cxn>
              <a:cxn ang="0">
                <a:pos x="32" y="15"/>
              </a:cxn>
              <a:cxn ang="0">
                <a:pos x="35" y="9"/>
              </a:cxn>
              <a:cxn ang="0">
                <a:pos x="32" y="12"/>
              </a:cxn>
              <a:cxn ang="0">
                <a:pos x="9" y="0"/>
              </a:cxn>
            </a:cxnLst>
            <a:rect l="0" t="0" r="r" b="b"/>
            <a:pathLst>
              <a:path w="35" h="38">
                <a:moveTo>
                  <a:pt x="9" y="0"/>
                </a:moveTo>
                <a:lnTo>
                  <a:pt x="6" y="0"/>
                </a:lnTo>
                <a:lnTo>
                  <a:pt x="6" y="3"/>
                </a:lnTo>
                <a:lnTo>
                  <a:pt x="6" y="6"/>
                </a:lnTo>
                <a:lnTo>
                  <a:pt x="3" y="9"/>
                </a:lnTo>
                <a:lnTo>
                  <a:pt x="3" y="9"/>
                </a:lnTo>
                <a:lnTo>
                  <a:pt x="3" y="9"/>
                </a:lnTo>
                <a:lnTo>
                  <a:pt x="3" y="12"/>
                </a:lnTo>
                <a:lnTo>
                  <a:pt x="0" y="12"/>
                </a:lnTo>
                <a:lnTo>
                  <a:pt x="6" y="38"/>
                </a:lnTo>
                <a:lnTo>
                  <a:pt x="9" y="38"/>
                </a:lnTo>
                <a:lnTo>
                  <a:pt x="15" y="35"/>
                </a:lnTo>
                <a:lnTo>
                  <a:pt x="18" y="32"/>
                </a:lnTo>
                <a:lnTo>
                  <a:pt x="24" y="29"/>
                </a:lnTo>
                <a:lnTo>
                  <a:pt x="26" y="23"/>
                </a:lnTo>
                <a:lnTo>
                  <a:pt x="29" y="20"/>
                </a:lnTo>
                <a:lnTo>
                  <a:pt x="32" y="15"/>
                </a:lnTo>
                <a:lnTo>
                  <a:pt x="35" y="9"/>
                </a:lnTo>
                <a:lnTo>
                  <a:pt x="32" y="12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1" name="Freeform 250">
            <a:extLst>
              <a:ext uri="{FF2B5EF4-FFF2-40B4-BE49-F238E27FC236}">
                <a16:creationId xmlns:a16="http://schemas.microsoft.com/office/drawing/2014/main" id="{00000000-0008-0000-0100-0000FB000000}"/>
              </a:ext>
            </a:extLst>
          </xdr:cNvPr>
          <xdr:cNvSpPr/>
        </xdr:nvSpPr>
        <xdr:spPr>
          <a:xfrm>
            <a:off x="10703" y="10148"/>
            <a:ext cx="35" cy="49"/>
          </a:xfrm>
          <a:custGeom>
            <a:avLst/>
            <a:gdLst/>
            <a:ahLst/>
            <a:cxnLst>
              <a:cxn ang="0">
                <a:pos x="6" y="0"/>
              </a:cxn>
              <a:cxn ang="0">
                <a:pos x="6" y="0"/>
              </a:cxn>
              <a:cxn ang="0">
                <a:pos x="6" y="5"/>
              </a:cxn>
              <a:cxn ang="0">
                <a:pos x="6" y="11"/>
              </a:cxn>
              <a:cxn ang="0">
                <a:pos x="6" y="17"/>
              </a:cxn>
              <a:cxn ang="0">
                <a:pos x="3" y="20"/>
              </a:cxn>
              <a:cxn ang="0">
                <a:pos x="3" y="26"/>
              </a:cxn>
              <a:cxn ang="0">
                <a:pos x="3" y="31"/>
              </a:cxn>
              <a:cxn ang="0">
                <a:pos x="0" y="34"/>
              </a:cxn>
              <a:cxn ang="0">
                <a:pos x="0" y="37"/>
              </a:cxn>
              <a:cxn ang="0">
                <a:pos x="23" y="49"/>
              </a:cxn>
              <a:cxn ang="0">
                <a:pos x="26" y="43"/>
              </a:cxn>
              <a:cxn ang="0">
                <a:pos x="29" y="37"/>
              </a:cxn>
              <a:cxn ang="0">
                <a:pos x="29" y="31"/>
              </a:cxn>
              <a:cxn ang="0">
                <a:pos x="32" y="26"/>
              </a:cxn>
              <a:cxn ang="0">
                <a:pos x="32" y="20"/>
              </a:cxn>
              <a:cxn ang="0">
                <a:pos x="32" y="14"/>
              </a:cxn>
              <a:cxn ang="0">
                <a:pos x="32" y="8"/>
              </a:cxn>
              <a:cxn ang="0">
                <a:pos x="35" y="3"/>
              </a:cxn>
              <a:cxn ang="0">
                <a:pos x="35" y="0"/>
              </a:cxn>
              <a:cxn ang="0">
                <a:pos x="6" y="0"/>
              </a:cxn>
            </a:cxnLst>
            <a:rect l="0" t="0" r="r" b="b"/>
            <a:pathLst>
              <a:path w="35" h="49">
                <a:moveTo>
                  <a:pt x="6" y="0"/>
                </a:moveTo>
                <a:lnTo>
                  <a:pt x="6" y="0"/>
                </a:lnTo>
                <a:lnTo>
                  <a:pt x="6" y="5"/>
                </a:lnTo>
                <a:lnTo>
                  <a:pt x="6" y="11"/>
                </a:lnTo>
                <a:lnTo>
                  <a:pt x="6" y="17"/>
                </a:lnTo>
                <a:lnTo>
                  <a:pt x="3" y="20"/>
                </a:lnTo>
                <a:lnTo>
                  <a:pt x="3" y="26"/>
                </a:lnTo>
                <a:lnTo>
                  <a:pt x="3" y="31"/>
                </a:lnTo>
                <a:lnTo>
                  <a:pt x="0" y="34"/>
                </a:lnTo>
                <a:lnTo>
                  <a:pt x="0" y="37"/>
                </a:lnTo>
                <a:lnTo>
                  <a:pt x="23" y="49"/>
                </a:lnTo>
                <a:lnTo>
                  <a:pt x="26" y="43"/>
                </a:lnTo>
                <a:lnTo>
                  <a:pt x="29" y="37"/>
                </a:lnTo>
                <a:lnTo>
                  <a:pt x="29" y="31"/>
                </a:lnTo>
                <a:lnTo>
                  <a:pt x="32" y="26"/>
                </a:lnTo>
                <a:lnTo>
                  <a:pt x="32" y="20"/>
                </a:lnTo>
                <a:lnTo>
                  <a:pt x="32" y="14"/>
                </a:lnTo>
                <a:lnTo>
                  <a:pt x="32" y="8"/>
                </a:lnTo>
                <a:lnTo>
                  <a:pt x="35" y="3"/>
                </a:lnTo>
                <a:lnTo>
                  <a:pt x="35" y="0"/>
                </a:lnTo>
                <a:lnTo>
                  <a:pt x="6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2" name="Freeform 251">
            <a:extLst>
              <a:ext uri="{FF2B5EF4-FFF2-40B4-BE49-F238E27FC236}">
                <a16:creationId xmlns:a16="http://schemas.microsoft.com/office/drawing/2014/main" id="{00000000-0008-0000-0100-0000FC000000}"/>
              </a:ext>
            </a:extLst>
          </xdr:cNvPr>
          <xdr:cNvSpPr/>
        </xdr:nvSpPr>
        <xdr:spPr>
          <a:xfrm>
            <a:off x="10709" y="10145"/>
            <a:ext cx="29" cy="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29" y="3"/>
              </a:cxn>
              <a:cxn ang="0">
                <a:pos x="29" y="3"/>
              </a:cxn>
              <a:cxn ang="0">
                <a:pos x="29" y="3"/>
              </a:cxn>
              <a:cxn ang="0">
                <a:pos x="29" y="0"/>
              </a:cxn>
              <a:cxn ang="0">
                <a:pos x="29" y="0"/>
              </a:cxn>
              <a:cxn ang="0">
                <a:pos x="0" y="0"/>
              </a:cxn>
            </a:cxnLst>
            <a:rect l="0" t="0" r="r" b="b"/>
            <a:pathLst>
              <a:path w="29" h="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3"/>
                </a:lnTo>
                <a:lnTo>
                  <a:pt x="29" y="3"/>
                </a:lnTo>
                <a:lnTo>
                  <a:pt x="29" y="3"/>
                </a:lnTo>
                <a:lnTo>
                  <a:pt x="29" y="3"/>
                </a:lnTo>
                <a:lnTo>
                  <a:pt x="29" y="0"/>
                </a:lnTo>
                <a:lnTo>
                  <a:pt x="29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3" name="Freeform 252">
            <a:extLst>
              <a:ext uri="{FF2B5EF4-FFF2-40B4-BE49-F238E27FC236}">
                <a16:creationId xmlns:a16="http://schemas.microsoft.com/office/drawing/2014/main" id="{00000000-0008-0000-0100-0000FD000000}"/>
              </a:ext>
            </a:extLst>
          </xdr:cNvPr>
          <xdr:cNvSpPr/>
        </xdr:nvSpPr>
        <xdr:spPr>
          <a:xfrm>
            <a:off x="10709" y="10139"/>
            <a:ext cx="29" cy="6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0" y="3"/>
              </a:cxn>
              <a:cxn ang="0">
                <a:pos x="0" y="6"/>
              </a:cxn>
              <a:cxn ang="0">
                <a:pos x="29" y="6"/>
              </a:cxn>
              <a:cxn ang="0">
                <a:pos x="29" y="3"/>
              </a:cxn>
              <a:cxn ang="0">
                <a:pos x="29" y="3"/>
              </a:cxn>
              <a:cxn ang="0">
                <a:pos x="29" y="0"/>
              </a:cxn>
              <a:cxn ang="0">
                <a:pos x="29" y="0"/>
              </a:cxn>
              <a:cxn ang="0">
                <a:pos x="3" y="0"/>
              </a:cxn>
            </a:cxnLst>
            <a:rect l="0" t="0" r="r" b="b"/>
            <a:pathLst>
              <a:path w="29" h="6">
                <a:moveTo>
                  <a:pt x="3" y="0"/>
                </a:moveTo>
                <a:lnTo>
                  <a:pt x="3" y="0"/>
                </a:lnTo>
                <a:lnTo>
                  <a:pt x="3" y="0"/>
                </a:lnTo>
                <a:lnTo>
                  <a:pt x="3" y="3"/>
                </a:lnTo>
                <a:lnTo>
                  <a:pt x="0" y="3"/>
                </a:lnTo>
                <a:lnTo>
                  <a:pt x="0" y="6"/>
                </a:lnTo>
                <a:lnTo>
                  <a:pt x="29" y="6"/>
                </a:lnTo>
                <a:lnTo>
                  <a:pt x="29" y="3"/>
                </a:lnTo>
                <a:lnTo>
                  <a:pt x="29" y="3"/>
                </a:lnTo>
                <a:lnTo>
                  <a:pt x="29" y="0"/>
                </a:lnTo>
                <a:lnTo>
                  <a:pt x="29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4" name="Freeform 253">
            <a:extLst>
              <a:ext uri="{FF2B5EF4-FFF2-40B4-BE49-F238E27FC236}">
                <a16:creationId xmlns:a16="http://schemas.microsoft.com/office/drawing/2014/main" id="{00000000-0008-0000-0100-0000FE000000}"/>
              </a:ext>
            </a:extLst>
          </xdr:cNvPr>
          <xdr:cNvSpPr/>
        </xdr:nvSpPr>
        <xdr:spPr>
          <a:xfrm>
            <a:off x="10709" y="10102"/>
            <a:ext cx="29" cy="37"/>
          </a:xfrm>
          <a:custGeom>
            <a:avLst/>
            <a:gdLst/>
            <a:ahLst/>
            <a:cxnLst>
              <a:cxn ang="0">
                <a:pos x="3" y="28"/>
              </a:cxn>
              <a:cxn ang="0">
                <a:pos x="3" y="28"/>
              </a:cxn>
              <a:cxn ang="0">
                <a:pos x="3" y="28"/>
              </a:cxn>
              <a:cxn ang="0">
                <a:pos x="3" y="28"/>
              </a:cxn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3" y="28"/>
              </a:cxn>
              <a:cxn ang="0">
                <a:pos x="3" y="34"/>
              </a:cxn>
              <a:cxn ang="0">
                <a:pos x="3" y="37"/>
              </a:cxn>
              <a:cxn ang="0">
                <a:pos x="29" y="37"/>
              </a:cxn>
              <a:cxn ang="0">
                <a:pos x="29" y="31"/>
              </a:cxn>
              <a:cxn ang="0">
                <a:pos x="29" y="26"/>
              </a:cxn>
              <a:cxn ang="0">
                <a:pos x="26" y="20"/>
              </a:cxn>
              <a:cxn ang="0">
                <a:pos x="23" y="11"/>
              </a:cxn>
              <a:cxn ang="0">
                <a:pos x="20" y="8"/>
              </a:cxn>
              <a:cxn ang="0">
                <a:pos x="14" y="2"/>
              </a:cxn>
              <a:cxn ang="0">
                <a:pos x="9" y="0"/>
              </a:cxn>
              <a:cxn ang="0">
                <a:pos x="3" y="0"/>
              </a:cxn>
              <a:cxn ang="0">
                <a:pos x="3" y="28"/>
              </a:cxn>
            </a:cxnLst>
            <a:rect l="0" t="0" r="r" b="b"/>
            <a:pathLst>
              <a:path w="29" h="37">
                <a:moveTo>
                  <a:pt x="3" y="28"/>
                </a:moveTo>
                <a:lnTo>
                  <a:pt x="3" y="28"/>
                </a:lnTo>
                <a:lnTo>
                  <a:pt x="3" y="28"/>
                </a:lnTo>
                <a:lnTo>
                  <a:pt x="3" y="28"/>
                </a:lnTo>
                <a:lnTo>
                  <a:pt x="0" y="26"/>
                </a:lnTo>
                <a:lnTo>
                  <a:pt x="0" y="26"/>
                </a:lnTo>
                <a:lnTo>
                  <a:pt x="0" y="26"/>
                </a:lnTo>
                <a:lnTo>
                  <a:pt x="3" y="28"/>
                </a:lnTo>
                <a:lnTo>
                  <a:pt x="3" y="34"/>
                </a:lnTo>
                <a:lnTo>
                  <a:pt x="3" y="37"/>
                </a:lnTo>
                <a:lnTo>
                  <a:pt x="29" y="37"/>
                </a:lnTo>
                <a:lnTo>
                  <a:pt x="29" y="31"/>
                </a:lnTo>
                <a:lnTo>
                  <a:pt x="29" y="26"/>
                </a:lnTo>
                <a:lnTo>
                  <a:pt x="26" y="20"/>
                </a:lnTo>
                <a:lnTo>
                  <a:pt x="23" y="11"/>
                </a:lnTo>
                <a:lnTo>
                  <a:pt x="20" y="8"/>
                </a:lnTo>
                <a:lnTo>
                  <a:pt x="14" y="2"/>
                </a:lnTo>
                <a:lnTo>
                  <a:pt x="9" y="0"/>
                </a:lnTo>
                <a:lnTo>
                  <a:pt x="3" y="0"/>
                </a:lnTo>
                <a:lnTo>
                  <a:pt x="3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5" name="Freeform 254">
            <a:extLst>
              <a:ext uri="{FF2B5EF4-FFF2-40B4-BE49-F238E27FC236}">
                <a16:creationId xmlns:a16="http://schemas.microsoft.com/office/drawing/2014/main" id="{00000000-0008-0000-0100-0000FF000000}"/>
              </a:ext>
            </a:extLst>
          </xdr:cNvPr>
          <xdr:cNvSpPr/>
        </xdr:nvSpPr>
        <xdr:spPr>
          <a:xfrm>
            <a:off x="10685" y="10102"/>
            <a:ext cx="27" cy="28"/>
          </a:xfrm>
          <a:custGeom>
            <a:avLst/>
            <a:gdLst/>
            <a:ahLst/>
            <a:cxnLst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7" y="26"/>
              </a:cxn>
              <a:cxn ang="0">
                <a:pos x="24" y="28"/>
              </a:cxn>
              <a:cxn ang="0">
                <a:pos x="27" y="26"/>
              </a:cxn>
              <a:cxn ang="0">
                <a:pos x="24" y="26"/>
              </a:cxn>
              <a:cxn ang="0">
                <a:pos x="27" y="26"/>
              </a:cxn>
              <a:cxn ang="0">
                <a:pos x="27" y="0"/>
              </a:cxn>
              <a:cxn ang="0">
                <a:pos x="24" y="0"/>
              </a:cxn>
              <a:cxn ang="0">
                <a:pos x="18" y="2"/>
              </a:cxn>
              <a:cxn ang="0">
                <a:pos x="15" y="2"/>
              </a:cxn>
              <a:cxn ang="0">
                <a:pos x="12" y="5"/>
              </a:cxn>
              <a:cxn ang="0">
                <a:pos x="9" y="5"/>
              </a:cxn>
              <a:cxn ang="0">
                <a:pos x="6" y="8"/>
              </a:cxn>
              <a:cxn ang="0">
                <a:pos x="3" y="11"/>
              </a:cxn>
              <a:cxn ang="0">
                <a:pos x="0" y="14"/>
              </a:cxn>
              <a:cxn ang="0">
                <a:pos x="0" y="17"/>
              </a:cxn>
              <a:cxn ang="0">
                <a:pos x="24" y="28"/>
              </a:cxn>
            </a:cxnLst>
            <a:rect l="0" t="0" r="r" b="b"/>
            <a:pathLst>
              <a:path w="27" h="28">
                <a:moveTo>
                  <a:pt x="24" y="28"/>
                </a:moveTo>
                <a:lnTo>
                  <a:pt x="24" y="28"/>
                </a:lnTo>
                <a:lnTo>
                  <a:pt x="24" y="28"/>
                </a:lnTo>
                <a:lnTo>
                  <a:pt x="24" y="28"/>
                </a:lnTo>
                <a:lnTo>
                  <a:pt x="24" y="28"/>
                </a:lnTo>
                <a:lnTo>
                  <a:pt x="27" y="26"/>
                </a:lnTo>
                <a:lnTo>
                  <a:pt x="24" y="28"/>
                </a:lnTo>
                <a:lnTo>
                  <a:pt x="27" y="26"/>
                </a:lnTo>
                <a:lnTo>
                  <a:pt x="24" y="26"/>
                </a:lnTo>
                <a:lnTo>
                  <a:pt x="27" y="26"/>
                </a:lnTo>
                <a:lnTo>
                  <a:pt x="27" y="0"/>
                </a:lnTo>
                <a:lnTo>
                  <a:pt x="24" y="0"/>
                </a:lnTo>
                <a:lnTo>
                  <a:pt x="18" y="2"/>
                </a:lnTo>
                <a:lnTo>
                  <a:pt x="15" y="2"/>
                </a:lnTo>
                <a:lnTo>
                  <a:pt x="12" y="5"/>
                </a:lnTo>
                <a:lnTo>
                  <a:pt x="9" y="5"/>
                </a:lnTo>
                <a:lnTo>
                  <a:pt x="6" y="8"/>
                </a:lnTo>
                <a:lnTo>
                  <a:pt x="3" y="11"/>
                </a:lnTo>
                <a:lnTo>
                  <a:pt x="0" y="14"/>
                </a:lnTo>
                <a:lnTo>
                  <a:pt x="0" y="17"/>
                </a:lnTo>
                <a:lnTo>
                  <a:pt x="24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6" name="Freeform 255">
            <a:extLst>
              <a:ext uri="{FF2B5EF4-FFF2-40B4-BE49-F238E27FC236}">
                <a16:creationId xmlns:a16="http://schemas.microsoft.com/office/drawing/2014/main" id="{00000000-0008-0000-0100-000000010000}"/>
              </a:ext>
            </a:extLst>
          </xdr:cNvPr>
          <xdr:cNvSpPr/>
        </xdr:nvSpPr>
        <xdr:spPr>
          <a:xfrm>
            <a:off x="10673" y="10119"/>
            <a:ext cx="36" cy="34"/>
          </a:xfrm>
          <a:custGeom>
            <a:avLst/>
            <a:gdLst/>
            <a:ahLst/>
            <a:cxnLst>
              <a:cxn ang="0">
                <a:pos x="27" y="34"/>
              </a:cxn>
              <a:cxn ang="0">
                <a:pos x="27" y="34"/>
              </a:cxn>
              <a:cxn ang="0">
                <a:pos x="30" y="32"/>
              </a:cxn>
              <a:cxn ang="0">
                <a:pos x="30" y="29"/>
              </a:cxn>
              <a:cxn ang="0">
                <a:pos x="30" y="26"/>
              </a:cxn>
              <a:cxn ang="0">
                <a:pos x="33" y="23"/>
              </a:cxn>
              <a:cxn ang="0">
                <a:pos x="33" y="20"/>
              </a:cxn>
              <a:cxn ang="0">
                <a:pos x="33" y="17"/>
              </a:cxn>
              <a:cxn ang="0">
                <a:pos x="36" y="14"/>
              </a:cxn>
              <a:cxn ang="0">
                <a:pos x="36" y="11"/>
              </a:cxn>
              <a:cxn ang="0">
                <a:pos x="12" y="0"/>
              </a:cxn>
              <a:cxn ang="0">
                <a:pos x="9" y="3"/>
              </a:cxn>
              <a:cxn ang="0">
                <a:pos x="9" y="6"/>
              </a:cxn>
              <a:cxn ang="0">
                <a:pos x="6" y="9"/>
              </a:cxn>
              <a:cxn ang="0">
                <a:pos x="6" y="11"/>
              </a:cxn>
              <a:cxn ang="0">
                <a:pos x="3" y="14"/>
              </a:cxn>
              <a:cxn ang="0">
                <a:pos x="3" y="20"/>
              </a:cxn>
              <a:cxn ang="0">
                <a:pos x="0" y="23"/>
              </a:cxn>
              <a:cxn ang="0">
                <a:pos x="0" y="29"/>
              </a:cxn>
              <a:cxn ang="0">
                <a:pos x="0" y="29"/>
              </a:cxn>
              <a:cxn ang="0">
                <a:pos x="27" y="34"/>
              </a:cxn>
            </a:cxnLst>
            <a:rect l="0" t="0" r="r" b="b"/>
            <a:pathLst>
              <a:path w="36" h="34">
                <a:moveTo>
                  <a:pt x="27" y="34"/>
                </a:moveTo>
                <a:lnTo>
                  <a:pt x="27" y="34"/>
                </a:lnTo>
                <a:lnTo>
                  <a:pt x="30" y="32"/>
                </a:lnTo>
                <a:lnTo>
                  <a:pt x="30" y="29"/>
                </a:lnTo>
                <a:lnTo>
                  <a:pt x="30" y="26"/>
                </a:lnTo>
                <a:lnTo>
                  <a:pt x="33" y="23"/>
                </a:lnTo>
                <a:lnTo>
                  <a:pt x="33" y="20"/>
                </a:lnTo>
                <a:lnTo>
                  <a:pt x="33" y="17"/>
                </a:lnTo>
                <a:lnTo>
                  <a:pt x="36" y="14"/>
                </a:lnTo>
                <a:lnTo>
                  <a:pt x="36" y="11"/>
                </a:lnTo>
                <a:lnTo>
                  <a:pt x="12" y="0"/>
                </a:lnTo>
                <a:lnTo>
                  <a:pt x="9" y="3"/>
                </a:lnTo>
                <a:lnTo>
                  <a:pt x="9" y="6"/>
                </a:lnTo>
                <a:lnTo>
                  <a:pt x="6" y="9"/>
                </a:lnTo>
                <a:lnTo>
                  <a:pt x="6" y="11"/>
                </a:lnTo>
                <a:lnTo>
                  <a:pt x="3" y="14"/>
                </a:lnTo>
                <a:lnTo>
                  <a:pt x="3" y="20"/>
                </a:lnTo>
                <a:lnTo>
                  <a:pt x="0" y="23"/>
                </a:lnTo>
                <a:lnTo>
                  <a:pt x="0" y="29"/>
                </a:lnTo>
                <a:lnTo>
                  <a:pt x="0" y="29"/>
                </a:lnTo>
                <a:lnTo>
                  <a:pt x="27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7" name="Freeform 256">
            <a:extLst>
              <a:ext uri="{FF2B5EF4-FFF2-40B4-BE49-F238E27FC236}">
                <a16:creationId xmlns:a16="http://schemas.microsoft.com/office/drawing/2014/main" id="{00000000-0008-0000-0100-000001010000}"/>
              </a:ext>
            </a:extLst>
          </xdr:cNvPr>
          <xdr:cNvSpPr/>
        </xdr:nvSpPr>
        <xdr:spPr>
          <a:xfrm>
            <a:off x="10667" y="10148"/>
            <a:ext cx="33" cy="31"/>
          </a:xfrm>
          <a:custGeom>
            <a:avLst/>
            <a:gdLst/>
            <a:ahLst/>
            <a:cxnLst>
              <a:cxn ang="0">
                <a:pos x="30" y="31"/>
              </a:cxn>
              <a:cxn ang="0">
                <a:pos x="30" y="31"/>
              </a:cxn>
              <a:cxn ang="0">
                <a:pos x="30" y="28"/>
              </a:cxn>
              <a:cxn ang="0">
                <a:pos x="30" y="26"/>
              </a:cxn>
              <a:cxn ang="0">
                <a:pos x="30" y="23"/>
              </a:cxn>
              <a:cxn ang="0">
                <a:pos x="30" y="20"/>
              </a:cxn>
              <a:cxn ang="0">
                <a:pos x="33" y="14"/>
              </a:cxn>
              <a:cxn ang="0">
                <a:pos x="33" y="11"/>
              </a:cxn>
              <a:cxn ang="0">
                <a:pos x="33" y="8"/>
              </a:cxn>
              <a:cxn ang="0">
                <a:pos x="33" y="5"/>
              </a:cxn>
              <a:cxn ang="0">
                <a:pos x="6" y="0"/>
              </a:cxn>
              <a:cxn ang="0">
                <a:pos x="6" y="3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20"/>
              </a:cxn>
              <a:cxn ang="0">
                <a:pos x="3" y="23"/>
              </a:cxn>
              <a:cxn ang="0">
                <a:pos x="0" y="28"/>
              </a:cxn>
              <a:cxn ang="0">
                <a:pos x="0" y="31"/>
              </a:cxn>
              <a:cxn ang="0">
                <a:pos x="30" y="31"/>
              </a:cxn>
            </a:cxnLst>
            <a:rect l="0" t="0" r="r" b="b"/>
            <a:pathLst>
              <a:path w="33" h="31">
                <a:moveTo>
                  <a:pt x="30" y="31"/>
                </a:moveTo>
                <a:lnTo>
                  <a:pt x="30" y="31"/>
                </a:lnTo>
                <a:lnTo>
                  <a:pt x="30" y="28"/>
                </a:lnTo>
                <a:lnTo>
                  <a:pt x="30" y="26"/>
                </a:lnTo>
                <a:lnTo>
                  <a:pt x="30" y="23"/>
                </a:lnTo>
                <a:lnTo>
                  <a:pt x="30" y="20"/>
                </a:lnTo>
                <a:lnTo>
                  <a:pt x="33" y="14"/>
                </a:lnTo>
                <a:lnTo>
                  <a:pt x="33" y="11"/>
                </a:lnTo>
                <a:lnTo>
                  <a:pt x="33" y="8"/>
                </a:lnTo>
                <a:lnTo>
                  <a:pt x="33" y="5"/>
                </a:lnTo>
                <a:lnTo>
                  <a:pt x="6" y="0"/>
                </a:lnTo>
                <a:lnTo>
                  <a:pt x="6" y="3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20"/>
                </a:lnTo>
                <a:lnTo>
                  <a:pt x="3" y="23"/>
                </a:lnTo>
                <a:lnTo>
                  <a:pt x="0" y="28"/>
                </a:lnTo>
                <a:lnTo>
                  <a:pt x="0" y="31"/>
                </a:lnTo>
                <a:lnTo>
                  <a:pt x="30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8" name="Freeform 257">
            <a:extLst>
              <a:ext uri="{FF2B5EF4-FFF2-40B4-BE49-F238E27FC236}">
                <a16:creationId xmlns:a16="http://schemas.microsoft.com/office/drawing/2014/main" id="{00000000-0008-0000-0100-000002010000}"/>
              </a:ext>
            </a:extLst>
          </xdr:cNvPr>
          <xdr:cNvSpPr/>
        </xdr:nvSpPr>
        <xdr:spPr>
          <a:xfrm>
            <a:off x="10667" y="10179"/>
            <a:ext cx="30" cy="1"/>
          </a:xfrm>
          <a:custGeom>
            <a:avLst/>
            <a:gdLst/>
            <a:ahLst/>
            <a:cxnLst>
              <a:cxn ang="0">
                <a:pos x="30" y="0"/>
              </a:cxn>
              <a:cxn ang="0">
                <a:pos x="15" y="0"/>
              </a:cxn>
              <a:cxn ang="0">
                <a:pos x="0" y="0"/>
              </a:cxn>
              <a:cxn ang="0">
                <a:pos x="30" y="0"/>
              </a:cxn>
            </a:cxnLst>
            <a:rect l="0" t="0" r="r" b="b"/>
            <a:pathLst>
              <a:path w="30">
                <a:moveTo>
                  <a:pt x="30" y="0"/>
                </a:moveTo>
                <a:lnTo>
                  <a:pt x="15" y="0"/>
                </a:lnTo>
                <a:lnTo>
                  <a:pt x="0" y="0"/>
                </a:lnTo>
                <a:lnTo>
                  <a:pt x="3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9" name="Freeform 258">
            <a:extLst>
              <a:ext uri="{FF2B5EF4-FFF2-40B4-BE49-F238E27FC236}">
                <a16:creationId xmlns:a16="http://schemas.microsoft.com/office/drawing/2014/main" id="{00000000-0008-0000-0100-000003010000}"/>
              </a:ext>
            </a:extLst>
          </xdr:cNvPr>
          <xdr:cNvSpPr/>
        </xdr:nvSpPr>
        <xdr:spPr>
          <a:xfrm>
            <a:off x="10623" y="10119"/>
            <a:ext cx="39" cy="60"/>
          </a:xfrm>
          <a:custGeom>
            <a:avLst/>
            <a:gdLst/>
            <a:ahLst/>
            <a:cxnLst>
              <a:cxn ang="0">
                <a:pos x="12" y="0"/>
              </a:cxn>
              <a:cxn ang="0">
                <a:pos x="12" y="0"/>
              </a:cxn>
              <a:cxn ang="0">
                <a:pos x="9" y="3"/>
              </a:cxn>
              <a:cxn ang="0">
                <a:pos x="9" y="6"/>
              </a:cxn>
              <a:cxn ang="0">
                <a:pos x="9" y="9"/>
              </a:cxn>
              <a:cxn ang="0">
                <a:pos x="6" y="11"/>
              </a:cxn>
              <a:cxn ang="0">
                <a:pos x="6" y="17"/>
              </a:cxn>
              <a:cxn ang="0">
                <a:pos x="3" y="23"/>
              </a:cxn>
              <a:cxn ang="0">
                <a:pos x="3" y="26"/>
              </a:cxn>
              <a:cxn ang="0">
                <a:pos x="3" y="29"/>
              </a:cxn>
              <a:cxn ang="0">
                <a:pos x="0" y="32"/>
              </a:cxn>
              <a:cxn ang="0">
                <a:pos x="0" y="37"/>
              </a:cxn>
              <a:cxn ang="0">
                <a:pos x="0" y="40"/>
              </a:cxn>
              <a:cxn ang="0">
                <a:pos x="0" y="46"/>
              </a:cxn>
              <a:cxn ang="0">
                <a:pos x="0" y="49"/>
              </a:cxn>
              <a:cxn ang="0">
                <a:pos x="0" y="55"/>
              </a:cxn>
              <a:cxn ang="0">
                <a:pos x="0" y="57"/>
              </a:cxn>
              <a:cxn ang="0">
                <a:pos x="0" y="60"/>
              </a:cxn>
              <a:cxn ang="0">
                <a:pos x="27" y="60"/>
              </a:cxn>
              <a:cxn ang="0">
                <a:pos x="27" y="57"/>
              </a:cxn>
              <a:cxn ang="0">
                <a:pos x="27" y="55"/>
              </a:cxn>
              <a:cxn ang="0">
                <a:pos x="27" y="49"/>
              </a:cxn>
              <a:cxn ang="0">
                <a:pos x="27" y="46"/>
              </a:cxn>
              <a:cxn ang="0">
                <a:pos x="27" y="43"/>
              </a:cxn>
              <a:cxn ang="0">
                <a:pos x="30" y="40"/>
              </a:cxn>
              <a:cxn ang="0">
                <a:pos x="30" y="37"/>
              </a:cxn>
              <a:cxn ang="0">
                <a:pos x="30" y="34"/>
              </a:cxn>
              <a:cxn ang="0">
                <a:pos x="30" y="32"/>
              </a:cxn>
              <a:cxn ang="0">
                <a:pos x="33" y="29"/>
              </a:cxn>
              <a:cxn ang="0">
                <a:pos x="33" y="23"/>
              </a:cxn>
              <a:cxn ang="0">
                <a:pos x="33" y="23"/>
              </a:cxn>
              <a:cxn ang="0">
                <a:pos x="36" y="20"/>
              </a:cxn>
              <a:cxn ang="0">
                <a:pos x="36" y="17"/>
              </a:cxn>
              <a:cxn ang="0">
                <a:pos x="36" y="14"/>
              </a:cxn>
              <a:cxn ang="0">
                <a:pos x="39" y="11"/>
              </a:cxn>
              <a:cxn ang="0">
                <a:pos x="39" y="11"/>
              </a:cxn>
              <a:cxn ang="0">
                <a:pos x="12" y="0"/>
              </a:cxn>
            </a:cxnLst>
            <a:rect l="0" t="0" r="r" b="b"/>
            <a:pathLst>
              <a:path w="39" h="60">
                <a:moveTo>
                  <a:pt x="12" y="0"/>
                </a:moveTo>
                <a:lnTo>
                  <a:pt x="12" y="0"/>
                </a:lnTo>
                <a:lnTo>
                  <a:pt x="9" y="3"/>
                </a:lnTo>
                <a:lnTo>
                  <a:pt x="9" y="6"/>
                </a:lnTo>
                <a:lnTo>
                  <a:pt x="9" y="9"/>
                </a:lnTo>
                <a:lnTo>
                  <a:pt x="6" y="11"/>
                </a:lnTo>
                <a:lnTo>
                  <a:pt x="6" y="17"/>
                </a:lnTo>
                <a:lnTo>
                  <a:pt x="3" y="23"/>
                </a:lnTo>
                <a:lnTo>
                  <a:pt x="3" y="26"/>
                </a:lnTo>
                <a:lnTo>
                  <a:pt x="3" y="29"/>
                </a:lnTo>
                <a:lnTo>
                  <a:pt x="0" y="32"/>
                </a:lnTo>
                <a:lnTo>
                  <a:pt x="0" y="37"/>
                </a:lnTo>
                <a:lnTo>
                  <a:pt x="0" y="40"/>
                </a:lnTo>
                <a:lnTo>
                  <a:pt x="0" y="46"/>
                </a:lnTo>
                <a:lnTo>
                  <a:pt x="0" y="49"/>
                </a:lnTo>
                <a:lnTo>
                  <a:pt x="0" y="55"/>
                </a:lnTo>
                <a:lnTo>
                  <a:pt x="0" y="57"/>
                </a:lnTo>
                <a:lnTo>
                  <a:pt x="0" y="60"/>
                </a:lnTo>
                <a:lnTo>
                  <a:pt x="27" y="60"/>
                </a:lnTo>
                <a:lnTo>
                  <a:pt x="27" y="57"/>
                </a:lnTo>
                <a:lnTo>
                  <a:pt x="27" y="55"/>
                </a:lnTo>
                <a:lnTo>
                  <a:pt x="27" y="49"/>
                </a:lnTo>
                <a:lnTo>
                  <a:pt x="27" y="46"/>
                </a:lnTo>
                <a:lnTo>
                  <a:pt x="27" y="43"/>
                </a:lnTo>
                <a:lnTo>
                  <a:pt x="30" y="40"/>
                </a:lnTo>
                <a:lnTo>
                  <a:pt x="30" y="37"/>
                </a:lnTo>
                <a:lnTo>
                  <a:pt x="30" y="34"/>
                </a:lnTo>
                <a:lnTo>
                  <a:pt x="30" y="32"/>
                </a:lnTo>
                <a:lnTo>
                  <a:pt x="33" y="29"/>
                </a:lnTo>
                <a:lnTo>
                  <a:pt x="33" y="23"/>
                </a:lnTo>
                <a:lnTo>
                  <a:pt x="33" y="23"/>
                </a:lnTo>
                <a:lnTo>
                  <a:pt x="36" y="20"/>
                </a:lnTo>
                <a:lnTo>
                  <a:pt x="36" y="17"/>
                </a:lnTo>
                <a:lnTo>
                  <a:pt x="36" y="14"/>
                </a:lnTo>
                <a:lnTo>
                  <a:pt x="39" y="11"/>
                </a:lnTo>
                <a:lnTo>
                  <a:pt x="39" y="11"/>
                </a:lnTo>
                <a:lnTo>
                  <a:pt x="1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0" name="Freeform 259">
            <a:extLst>
              <a:ext uri="{FF2B5EF4-FFF2-40B4-BE49-F238E27FC236}">
                <a16:creationId xmlns:a16="http://schemas.microsoft.com/office/drawing/2014/main" id="{00000000-0008-0000-0100-000004010000}"/>
              </a:ext>
            </a:extLst>
          </xdr:cNvPr>
          <xdr:cNvSpPr/>
        </xdr:nvSpPr>
        <xdr:spPr>
          <a:xfrm>
            <a:off x="10635" y="10073"/>
            <a:ext cx="53" cy="57"/>
          </a:xfrm>
          <a:custGeom>
            <a:avLst/>
            <a:gdLst/>
            <a:ahLst/>
            <a:cxnLst>
              <a:cxn ang="0">
                <a:pos x="32" y="0"/>
              </a:cxn>
              <a:cxn ang="0">
                <a:pos x="35" y="0"/>
              </a:cxn>
              <a:cxn ang="0">
                <a:pos x="30" y="6"/>
              </a:cxn>
              <a:cxn ang="0">
                <a:pos x="24" y="8"/>
              </a:cxn>
              <a:cxn ang="0">
                <a:pos x="18" y="17"/>
              </a:cxn>
              <a:cxn ang="0">
                <a:pos x="15" y="20"/>
              </a:cxn>
              <a:cxn ang="0">
                <a:pos x="12" y="26"/>
              </a:cxn>
              <a:cxn ang="0">
                <a:pos x="6" y="31"/>
              </a:cxn>
              <a:cxn ang="0">
                <a:pos x="3" y="37"/>
              </a:cxn>
              <a:cxn ang="0">
                <a:pos x="0" y="46"/>
              </a:cxn>
              <a:cxn ang="0">
                <a:pos x="27" y="57"/>
              </a:cxn>
              <a:cxn ang="0">
                <a:pos x="27" y="52"/>
              </a:cxn>
              <a:cxn ang="0">
                <a:pos x="30" y="46"/>
              </a:cxn>
              <a:cxn ang="0">
                <a:pos x="32" y="43"/>
              </a:cxn>
              <a:cxn ang="0">
                <a:pos x="38" y="37"/>
              </a:cxn>
              <a:cxn ang="0">
                <a:pos x="41" y="31"/>
              </a:cxn>
              <a:cxn ang="0">
                <a:pos x="44" y="29"/>
              </a:cxn>
              <a:cxn ang="0">
                <a:pos x="47" y="26"/>
              </a:cxn>
              <a:cxn ang="0">
                <a:pos x="50" y="23"/>
              </a:cxn>
              <a:cxn ang="0">
                <a:pos x="53" y="20"/>
              </a:cxn>
              <a:cxn ang="0">
                <a:pos x="32" y="0"/>
              </a:cxn>
            </a:cxnLst>
            <a:rect l="0" t="0" r="r" b="b"/>
            <a:pathLst>
              <a:path w="53" h="57">
                <a:moveTo>
                  <a:pt x="32" y="0"/>
                </a:moveTo>
                <a:lnTo>
                  <a:pt x="35" y="0"/>
                </a:lnTo>
                <a:lnTo>
                  <a:pt x="30" y="6"/>
                </a:lnTo>
                <a:lnTo>
                  <a:pt x="24" y="8"/>
                </a:lnTo>
                <a:lnTo>
                  <a:pt x="18" y="17"/>
                </a:lnTo>
                <a:lnTo>
                  <a:pt x="15" y="20"/>
                </a:lnTo>
                <a:lnTo>
                  <a:pt x="12" y="26"/>
                </a:lnTo>
                <a:lnTo>
                  <a:pt x="6" y="31"/>
                </a:lnTo>
                <a:lnTo>
                  <a:pt x="3" y="37"/>
                </a:lnTo>
                <a:lnTo>
                  <a:pt x="0" y="46"/>
                </a:lnTo>
                <a:lnTo>
                  <a:pt x="27" y="57"/>
                </a:lnTo>
                <a:lnTo>
                  <a:pt x="27" y="52"/>
                </a:lnTo>
                <a:lnTo>
                  <a:pt x="30" y="46"/>
                </a:lnTo>
                <a:lnTo>
                  <a:pt x="32" y="43"/>
                </a:lnTo>
                <a:lnTo>
                  <a:pt x="38" y="37"/>
                </a:lnTo>
                <a:lnTo>
                  <a:pt x="41" y="31"/>
                </a:lnTo>
                <a:lnTo>
                  <a:pt x="44" y="29"/>
                </a:lnTo>
                <a:lnTo>
                  <a:pt x="47" y="26"/>
                </a:lnTo>
                <a:lnTo>
                  <a:pt x="50" y="23"/>
                </a:lnTo>
                <a:lnTo>
                  <a:pt x="53" y="20"/>
                </a:lnTo>
                <a:lnTo>
                  <a:pt x="3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1" name="Freeform 260">
            <a:extLst>
              <a:ext uri="{FF2B5EF4-FFF2-40B4-BE49-F238E27FC236}">
                <a16:creationId xmlns:a16="http://schemas.microsoft.com/office/drawing/2014/main" id="{00000000-0008-0000-0100-000005010000}"/>
              </a:ext>
            </a:extLst>
          </xdr:cNvPr>
          <xdr:cNvSpPr/>
        </xdr:nvSpPr>
        <xdr:spPr>
          <a:xfrm>
            <a:off x="10667" y="10056"/>
            <a:ext cx="53" cy="37"/>
          </a:xfrm>
          <a:custGeom>
            <a:avLst/>
            <a:gdLst/>
            <a:ahLst/>
            <a:cxnLst>
              <a:cxn ang="0">
                <a:pos x="53" y="0"/>
              </a:cxn>
              <a:cxn ang="0">
                <a:pos x="53" y="0"/>
              </a:cxn>
              <a:cxn ang="0">
                <a:pos x="45" y="0"/>
              </a:cxn>
              <a:cxn ang="0">
                <a:pos x="39" y="0"/>
              </a:cxn>
              <a:cxn ang="0">
                <a:pos x="33" y="2"/>
              </a:cxn>
              <a:cxn ang="0">
                <a:pos x="27" y="2"/>
              </a:cxn>
              <a:cxn ang="0">
                <a:pos x="18" y="5"/>
              </a:cxn>
              <a:cxn ang="0">
                <a:pos x="12" y="11"/>
              </a:cxn>
              <a:cxn ang="0">
                <a:pos x="6" y="14"/>
              </a:cxn>
              <a:cxn ang="0">
                <a:pos x="0" y="17"/>
              </a:cxn>
              <a:cxn ang="0">
                <a:pos x="21" y="37"/>
              </a:cxn>
              <a:cxn ang="0">
                <a:pos x="24" y="37"/>
              </a:cxn>
              <a:cxn ang="0">
                <a:pos x="27" y="34"/>
              </a:cxn>
              <a:cxn ang="0">
                <a:pos x="30" y="31"/>
              </a:cxn>
              <a:cxn ang="0">
                <a:pos x="36" y="28"/>
              </a:cxn>
              <a:cxn ang="0">
                <a:pos x="39" y="28"/>
              </a:cxn>
              <a:cxn ang="0">
                <a:pos x="42" y="28"/>
              </a:cxn>
              <a:cxn ang="0">
                <a:pos x="48" y="25"/>
              </a:cxn>
              <a:cxn ang="0">
                <a:pos x="53" y="25"/>
              </a:cxn>
              <a:cxn ang="0">
                <a:pos x="51" y="25"/>
              </a:cxn>
              <a:cxn ang="0">
                <a:pos x="53" y="0"/>
              </a:cxn>
            </a:cxnLst>
            <a:rect l="0" t="0" r="r" b="b"/>
            <a:pathLst>
              <a:path w="53" h="37">
                <a:moveTo>
                  <a:pt x="53" y="0"/>
                </a:moveTo>
                <a:lnTo>
                  <a:pt x="53" y="0"/>
                </a:lnTo>
                <a:lnTo>
                  <a:pt x="45" y="0"/>
                </a:lnTo>
                <a:lnTo>
                  <a:pt x="39" y="0"/>
                </a:lnTo>
                <a:lnTo>
                  <a:pt x="33" y="2"/>
                </a:lnTo>
                <a:lnTo>
                  <a:pt x="27" y="2"/>
                </a:lnTo>
                <a:lnTo>
                  <a:pt x="18" y="5"/>
                </a:lnTo>
                <a:lnTo>
                  <a:pt x="12" y="11"/>
                </a:lnTo>
                <a:lnTo>
                  <a:pt x="6" y="14"/>
                </a:lnTo>
                <a:lnTo>
                  <a:pt x="0" y="17"/>
                </a:lnTo>
                <a:lnTo>
                  <a:pt x="21" y="37"/>
                </a:lnTo>
                <a:lnTo>
                  <a:pt x="24" y="37"/>
                </a:lnTo>
                <a:lnTo>
                  <a:pt x="27" y="34"/>
                </a:lnTo>
                <a:lnTo>
                  <a:pt x="30" y="31"/>
                </a:lnTo>
                <a:lnTo>
                  <a:pt x="36" y="28"/>
                </a:lnTo>
                <a:lnTo>
                  <a:pt x="39" y="28"/>
                </a:lnTo>
                <a:lnTo>
                  <a:pt x="42" y="28"/>
                </a:lnTo>
                <a:lnTo>
                  <a:pt x="48" y="25"/>
                </a:lnTo>
                <a:lnTo>
                  <a:pt x="53" y="25"/>
                </a:lnTo>
                <a:lnTo>
                  <a:pt x="51" y="25"/>
                </a:lnTo>
                <a:lnTo>
                  <a:pt x="5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2" name="Freeform 261">
            <a:extLst>
              <a:ext uri="{FF2B5EF4-FFF2-40B4-BE49-F238E27FC236}">
                <a16:creationId xmlns:a16="http://schemas.microsoft.com/office/drawing/2014/main" id="{00000000-0008-0000-0100-000006010000}"/>
              </a:ext>
            </a:extLst>
          </xdr:cNvPr>
          <xdr:cNvSpPr/>
        </xdr:nvSpPr>
        <xdr:spPr>
          <a:xfrm>
            <a:off x="10718" y="10056"/>
            <a:ext cx="41" cy="34"/>
          </a:xfrm>
          <a:custGeom>
            <a:avLst/>
            <a:gdLst/>
            <a:ahLst/>
            <a:cxnLst>
              <a:cxn ang="0">
                <a:pos x="41" y="11"/>
              </a:cxn>
              <a:cxn ang="0">
                <a:pos x="41" y="11"/>
              </a:cxn>
              <a:cxn ang="0">
                <a:pos x="35" y="8"/>
              </a:cxn>
              <a:cxn ang="0">
                <a:pos x="32" y="8"/>
              </a:cxn>
              <a:cxn ang="0">
                <a:pos x="26" y="5"/>
              </a:cxn>
              <a:cxn ang="0">
                <a:pos x="23" y="2"/>
              </a:cxn>
              <a:cxn ang="0">
                <a:pos x="20" y="2"/>
              </a:cxn>
              <a:cxn ang="0">
                <a:pos x="11" y="0"/>
              </a:cxn>
              <a:cxn ang="0">
                <a:pos x="8" y="0"/>
              </a:cxn>
              <a:cxn ang="0">
                <a:pos x="2" y="0"/>
              </a:cxn>
              <a:cxn ang="0">
                <a:pos x="0" y="25"/>
              </a:cxn>
              <a:cxn ang="0">
                <a:pos x="5" y="28"/>
              </a:cxn>
              <a:cxn ang="0">
                <a:pos x="8" y="28"/>
              </a:cxn>
              <a:cxn ang="0">
                <a:pos x="11" y="28"/>
              </a:cxn>
              <a:cxn ang="0">
                <a:pos x="14" y="28"/>
              </a:cxn>
              <a:cxn ang="0">
                <a:pos x="17" y="31"/>
              </a:cxn>
              <a:cxn ang="0">
                <a:pos x="17" y="31"/>
              </a:cxn>
              <a:cxn ang="0">
                <a:pos x="23" y="34"/>
              </a:cxn>
              <a:cxn ang="0">
                <a:pos x="23" y="34"/>
              </a:cxn>
              <a:cxn ang="0">
                <a:pos x="23" y="34"/>
              </a:cxn>
              <a:cxn ang="0">
                <a:pos x="41" y="11"/>
              </a:cxn>
            </a:cxnLst>
            <a:rect l="0" t="0" r="r" b="b"/>
            <a:pathLst>
              <a:path w="41" h="34">
                <a:moveTo>
                  <a:pt x="41" y="11"/>
                </a:moveTo>
                <a:lnTo>
                  <a:pt x="41" y="11"/>
                </a:lnTo>
                <a:lnTo>
                  <a:pt x="35" y="8"/>
                </a:lnTo>
                <a:lnTo>
                  <a:pt x="32" y="8"/>
                </a:lnTo>
                <a:lnTo>
                  <a:pt x="26" y="5"/>
                </a:lnTo>
                <a:lnTo>
                  <a:pt x="23" y="2"/>
                </a:lnTo>
                <a:lnTo>
                  <a:pt x="20" y="2"/>
                </a:lnTo>
                <a:lnTo>
                  <a:pt x="11" y="0"/>
                </a:lnTo>
                <a:lnTo>
                  <a:pt x="8" y="0"/>
                </a:lnTo>
                <a:lnTo>
                  <a:pt x="2" y="0"/>
                </a:lnTo>
                <a:lnTo>
                  <a:pt x="0" y="25"/>
                </a:lnTo>
                <a:lnTo>
                  <a:pt x="5" y="28"/>
                </a:lnTo>
                <a:lnTo>
                  <a:pt x="8" y="28"/>
                </a:lnTo>
                <a:lnTo>
                  <a:pt x="11" y="28"/>
                </a:lnTo>
                <a:lnTo>
                  <a:pt x="14" y="28"/>
                </a:lnTo>
                <a:lnTo>
                  <a:pt x="17" y="31"/>
                </a:lnTo>
                <a:lnTo>
                  <a:pt x="17" y="31"/>
                </a:lnTo>
                <a:lnTo>
                  <a:pt x="23" y="34"/>
                </a:lnTo>
                <a:lnTo>
                  <a:pt x="23" y="34"/>
                </a:lnTo>
                <a:lnTo>
                  <a:pt x="23" y="34"/>
                </a:lnTo>
                <a:lnTo>
                  <a:pt x="41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3" name="Freeform 262">
            <a:extLst>
              <a:ext uri="{FF2B5EF4-FFF2-40B4-BE49-F238E27FC236}">
                <a16:creationId xmlns:a16="http://schemas.microsoft.com/office/drawing/2014/main" id="{00000000-0008-0000-0100-000007010000}"/>
              </a:ext>
            </a:extLst>
          </xdr:cNvPr>
          <xdr:cNvSpPr/>
        </xdr:nvSpPr>
        <xdr:spPr>
          <a:xfrm>
            <a:off x="10741" y="10067"/>
            <a:ext cx="38" cy="43"/>
          </a:xfrm>
          <a:custGeom>
            <a:avLst/>
            <a:gdLst/>
            <a:ahLst/>
            <a:cxnLst>
              <a:cxn ang="0">
                <a:pos x="38" y="35"/>
              </a:cxn>
              <a:cxn ang="0">
                <a:pos x="38" y="32"/>
              </a:cxn>
              <a:cxn ang="0">
                <a:pos x="38" y="29"/>
              </a:cxn>
              <a:cxn ang="0">
                <a:pos x="35" y="23"/>
              </a:cxn>
              <a:cxn ang="0">
                <a:pos x="32" y="20"/>
              </a:cxn>
              <a:cxn ang="0">
                <a:pos x="29" y="17"/>
              </a:cxn>
              <a:cxn ang="0">
                <a:pos x="27" y="12"/>
              </a:cxn>
              <a:cxn ang="0">
                <a:pos x="24" y="9"/>
              </a:cxn>
              <a:cxn ang="0">
                <a:pos x="21" y="3"/>
              </a:cxn>
              <a:cxn ang="0">
                <a:pos x="18" y="0"/>
              </a:cxn>
              <a:cxn ang="0">
                <a:pos x="0" y="23"/>
              </a:cxn>
              <a:cxn ang="0">
                <a:pos x="3" y="23"/>
              </a:cxn>
              <a:cxn ang="0">
                <a:pos x="3" y="26"/>
              </a:cxn>
              <a:cxn ang="0">
                <a:pos x="6" y="29"/>
              </a:cxn>
              <a:cxn ang="0">
                <a:pos x="6" y="32"/>
              </a:cxn>
              <a:cxn ang="0">
                <a:pos x="9" y="35"/>
              </a:cxn>
              <a:cxn ang="0">
                <a:pos x="9" y="37"/>
              </a:cxn>
              <a:cxn ang="0">
                <a:pos x="12" y="37"/>
              </a:cxn>
              <a:cxn ang="0">
                <a:pos x="12" y="43"/>
              </a:cxn>
              <a:cxn ang="0">
                <a:pos x="12" y="43"/>
              </a:cxn>
              <a:cxn ang="0">
                <a:pos x="38" y="35"/>
              </a:cxn>
            </a:cxnLst>
            <a:rect l="0" t="0" r="r" b="b"/>
            <a:pathLst>
              <a:path w="38" h="43">
                <a:moveTo>
                  <a:pt x="38" y="35"/>
                </a:moveTo>
                <a:lnTo>
                  <a:pt x="38" y="32"/>
                </a:lnTo>
                <a:lnTo>
                  <a:pt x="38" y="29"/>
                </a:lnTo>
                <a:lnTo>
                  <a:pt x="35" y="23"/>
                </a:lnTo>
                <a:lnTo>
                  <a:pt x="32" y="20"/>
                </a:lnTo>
                <a:lnTo>
                  <a:pt x="29" y="17"/>
                </a:lnTo>
                <a:lnTo>
                  <a:pt x="27" y="12"/>
                </a:lnTo>
                <a:lnTo>
                  <a:pt x="24" y="9"/>
                </a:lnTo>
                <a:lnTo>
                  <a:pt x="21" y="3"/>
                </a:lnTo>
                <a:lnTo>
                  <a:pt x="18" y="0"/>
                </a:lnTo>
                <a:lnTo>
                  <a:pt x="0" y="23"/>
                </a:lnTo>
                <a:lnTo>
                  <a:pt x="3" y="23"/>
                </a:lnTo>
                <a:lnTo>
                  <a:pt x="3" y="26"/>
                </a:lnTo>
                <a:lnTo>
                  <a:pt x="6" y="29"/>
                </a:lnTo>
                <a:lnTo>
                  <a:pt x="6" y="32"/>
                </a:lnTo>
                <a:lnTo>
                  <a:pt x="9" y="35"/>
                </a:lnTo>
                <a:lnTo>
                  <a:pt x="9" y="37"/>
                </a:lnTo>
                <a:lnTo>
                  <a:pt x="12" y="37"/>
                </a:lnTo>
                <a:lnTo>
                  <a:pt x="12" y="43"/>
                </a:lnTo>
                <a:lnTo>
                  <a:pt x="12" y="43"/>
                </a:lnTo>
                <a:lnTo>
                  <a:pt x="38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4" name="Freeform 263">
            <a:extLst>
              <a:ext uri="{FF2B5EF4-FFF2-40B4-BE49-F238E27FC236}">
                <a16:creationId xmlns:a16="http://schemas.microsoft.com/office/drawing/2014/main" id="{00000000-0008-0000-0100-000008010000}"/>
              </a:ext>
            </a:extLst>
          </xdr:cNvPr>
          <xdr:cNvSpPr/>
        </xdr:nvSpPr>
        <xdr:spPr>
          <a:xfrm>
            <a:off x="10753" y="10102"/>
            <a:ext cx="32" cy="40"/>
          </a:xfrm>
          <a:custGeom>
            <a:avLst/>
            <a:gdLst/>
            <a:ahLst/>
            <a:cxnLst>
              <a:cxn ang="0">
                <a:pos x="32" y="40"/>
              </a:cxn>
              <a:cxn ang="0">
                <a:pos x="32" y="40"/>
              </a:cxn>
              <a:cxn ang="0">
                <a:pos x="32" y="34"/>
              </a:cxn>
              <a:cxn ang="0">
                <a:pos x="32" y="31"/>
              </a:cxn>
              <a:cxn ang="0">
                <a:pos x="32" y="26"/>
              </a:cxn>
              <a:cxn ang="0">
                <a:pos x="32" y="20"/>
              </a:cxn>
              <a:cxn ang="0">
                <a:pos x="29" y="14"/>
              </a:cxn>
              <a:cxn ang="0">
                <a:pos x="29" y="8"/>
              </a:cxn>
              <a:cxn ang="0">
                <a:pos x="29" y="2"/>
              </a:cxn>
              <a:cxn ang="0">
                <a:pos x="26" y="0"/>
              </a:cxn>
              <a:cxn ang="0">
                <a:pos x="0" y="8"/>
              </a:cxn>
              <a:cxn ang="0">
                <a:pos x="3" y="11"/>
              </a:cxn>
              <a:cxn ang="0">
                <a:pos x="3" y="14"/>
              </a:cxn>
              <a:cxn ang="0">
                <a:pos x="3" y="17"/>
              </a:cxn>
              <a:cxn ang="0">
                <a:pos x="3" y="23"/>
              </a:cxn>
              <a:cxn ang="0">
                <a:pos x="3" y="26"/>
              </a:cxn>
              <a:cxn ang="0">
                <a:pos x="6" y="31"/>
              </a:cxn>
              <a:cxn ang="0">
                <a:pos x="6" y="34"/>
              </a:cxn>
              <a:cxn ang="0">
                <a:pos x="6" y="40"/>
              </a:cxn>
              <a:cxn ang="0">
                <a:pos x="32" y="40"/>
              </a:cxn>
            </a:cxnLst>
            <a:rect l="0" t="0" r="r" b="b"/>
            <a:pathLst>
              <a:path w="32" h="40">
                <a:moveTo>
                  <a:pt x="32" y="40"/>
                </a:moveTo>
                <a:lnTo>
                  <a:pt x="32" y="40"/>
                </a:lnTo>
                <a:lnTo>
                  <a:pt x="32" y="34"/>
                </a:lnTo>
                <a:lnTo>
                  <a:pt x="32" y="31"/>
                </a:lnTo>
                <a:lnTo>
                  <a:pt x="32" y="26"/>
                </a:lnTo>
                <a:lnTo>
                  <a:pt x="32" y="20"/>
                </a:lnTo>
                <a:lnTo>
                  <a:pt x="29" y="14"/>
                </a:lnTo>
                <a:lnTo>
                  <a:pt x="29" y="8"/>
                </a:lnTo>
                <a:lnTo>
                  <a:pt x="29" y="2"/>
                </a:lnTo>
                <a:lnTo>
                  <a:pt x="26" y="0"/>
                </a:lnTo>
                <a:lnTo>
                  <a:pt x="0" y="8"/>
                </a:lnTo>
                <a:lnTo>
                  <a:pt x="3" y="11"/>
                </a:lnTo>
                <a:lnTo>
                  <a:pt x="3" y="14"/>
                </a:lnTo>
                <a:lnTo>
                  <a:pt x="3" y="17"/>
                </a:lnTo>
                <a:lnTo>
                  <a:pt x="3" y="23"/>
                </a:lnTo>
                <a:lnTo>
                  <a:pt x="3" y="26"/>
                </a:lnTo>
                <a:lnTo>
                  <a:pt x="6" y="31"/>
                </a:lnTo>
                <a:lnTo>
                  <a:pt x="6" y="34"/>
                </a:lnTo>
                <a:lnTo>
                  <a:pt x="6" y="40"/>
                </a:lnTo>
                <a:lnTo>
                  <a:pt x="32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5" name="Freeform 264">
            <a:extLst>
              <a:ext uri="{FF2B5EF4-FFF2-40B4-BE49-F238E27FC236}">
                <a16:creationId xmlns:a16="http://schemas.microsoft.com/office/drawing/2014/main" id="{00000000-0008-0000-0100-000009010000}"/>
              </a:ext>
            </a:extLst>
          </xdr:cNvPr>
          <xdr:cNvSpPr/>
        </xdr:nvSpPr>
        <xdr:spPr>
          <a:xfrm>
            <a:off x="10750" y="10142"/>
            <a:ext cx="35" cy="58"/>
          </a:xfrm>
          <a:custGeom>
            <a:avLst/>
            <a:gdLst/>
            <a:ahLst/>
            <a:cxnLst>
              <a:cxn ang="0">
                <a:pos x="26" y="55"/>
              </a:cxn>
              <a:cxn ang="0">
                <a:pos x="26" y="58"/>
              </a:cxn>
              <a:cxn ang="0">
                <a:pos x="26" y="55"/>
              </a:cxn>
              <a:cxn ang="0">
                <a:pos x="29" y="49"/>
              </a:cxn>
              <a:cxn ang="0">
                <a:pos x="29" y="46"/>
              </a:cxn>
              <a:cxn ang="0">
                <a:pos x="29" y="40"/>
              </a:cxn>
              <a:cxn ang="0">
                <a:pos x="32" y="37"/>
              </a:cxn>
              <a:cxn ang="0">
                <a:pos x="32" y="34"/>
              </a:cxn>
              <a:cxn ang="0">
                <a:pos x="32" y="32"/>
              </a:cxn>
              <a:cxn ang="0">
                <a:pos x="32" y="29"/>
              </a:cxn>
              <a:cxn ang="0">
                <a:pos x="35" y="26"/>
              </a:cxn>
              <a:cxn ang="0">
                <a:pos x="35" y="23"/>
              </a:cxn>
              <a:cxn ang="0">
                <a:pos x="35" y="17"/>
              </a:cxn>
              <a:cxn ang="0">
                <a:pos x="35" y="11"/>
              </a:cxn>
              <a:cxn ang="0">
                <a:pos x="35" y="9"/>
              </a:cxn>
              <a:cxn ang="0">
                <a:pos x="35" y="6"/>
              </a:cxn>
              <a:cxn ang="0">
                <a:pos x="35" y="3"/>
              </a:cxn>
              <a:cxn ang="0">
                <a:pos x="35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9" y="9"/>
              </a:cxn>
              <a:cxn ang="0">
                <a:pos x="6" y="11"/>
              </a:cxn>
              <a:cxn ang="0">
                <a:pos x="6" y="17"/>
              </a:cxn>
              <a:cxn ang="0">
                <a:pos x="6" y="17"/>
              </a:cxn>
              <a:cxn ang="0">
                <a:pos x="6" y="20"/>
              </a:cxn>
              <a:cxn ang="0">
                <a:pos x="6" y="23"/>
              </a:cxn>
              <a:cxn ang="0">
                <a:pos x="6" y="26"/>
              </a:cxn>
              <a:cxn ang="0">
                <a:pos x="6" y="29"/>
              </a:cxn>
              <a:cxn ang="0">
                <a:pos x="3" y="32"/>
              </a:cxn>
              <a:cxn ang="0">
                <a:pos x="3" y="34"/>
              </a:cxn>
              <a:cxn ang="0">
                <a:pos x="3" y="40"/>
              </a:cxn>
              <a:cxn ang="0">
                <a:pos x="0" y="43"/>
              </a:cxn>
              <a:cxn ang="0">
                <a:pos x="0" y="43"/>
              </a:cxn>
              <a:cxn ang="0">
                <a:pos x="0" y="46"/>
              </a:cxn>
              <a:cxn ang="0">
                <a:pos x="0" y="46"/>
              </a:cxn>
              <a:cxn ang="0">
                <a:pos x="26" y="55"/>
              </a:cxn>
            </a:cxnLst>
            <a:rect l="0" t="0" r="r" b="b"/>
            <a:pathLst>
              <a:path w="35" h="58">
                <a:moveTo>
                  <a:pt x="26" y="55"/>
                </a:moveTo>
                <a:lnTo>
                  <a:pt x="26" y="58"/>
                </a:lnTo>
                <a:lnTo>
                  <a:pt x="26" y="55"/>
                </a:lnTo>
                <a:lnTo>
                  <a:pt x="29" y="49"/>
                </a:lnTo>
                <a:lnTo>
                  <a:pt x="29" y="46"/>
                </a:lnTo>
                <a:lnTo>
                  <a:pt x="29" y="40"/>
                </a:lnTo>
                <a:lnTo>
                  <a:pt x="32" y="37"/>
                </a:lnTo>
                <a:lnTo>
                  <a:pt x="32" y="34"/>
                </a:lnTo>
                <a:lnTo>
                  <a:pt x="32" y="32"/>
                </a:lnTo>
                <a:lnTo>
                  <a:pt x="32" y="29"/>
                </a:lnTo>
                <a:lnTo>
                  <a:pt x="35" y="26"/>
                </a:lnTo>
                <a:lnTo>
                  <a:pt x="35" y="23"/>
                </a:lnTo>
                <a:lnTo>
                  <a:pt x="35" y="17"/>
                </a:lnTo>
                <a:lnTo>
                  <a:pt x="35" y="11"/>
                </a:lnTo>
                <a:lnTo>
                  <a:pt x="35" y="9"/>
                </a:lnTo>
                <a:lnTo>
                  <a:pt x="35" y="6"/>
                </a:lnTo>
                <a:lnTo>
                  <a:pt x="35" y="3"/>
                </a:lnTo>
                <a:lnTo>
                  <a:pt x="35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9" y="9"/>
                </a:lnTo>
                <a:lnTo>
                  <a:pt x="6" y="11"/>
                </a:lnTo>
                <a:lnTo>
                  <a:pt x="6" y="17"/>
                </a:lnTo>
                <a:lnTo>
                  <a:pt x="6" y="17"/>
                </a:lnTo>
                <a:lnTo>
                  <a:pt x="6" y="20"/>
                </a:lnTo>
                <a:lnTo>
                  <a:pt x="6" y="23"/>
                </a:lnTo>
                <a:lnTo>
                  <a:pt x="6" y="26"/>
                </a:lnTo>
                <a:lnTo>
                  <a:pt x="6" y="29"/>
                </a:lnTo>
                <a:lnTo>
                  <a:pt x="3" y="32"/>
                </a:lnTo>
                <a:lnTo>
                  <a:pt x="3" y="34"/>
                </a:lnTo>
                <a:lnTo>
                  <a:pt x="3" y="40"/>
                </a:lnTo>
                <a:lnTo>
                  <a:pt x="0" y="43"/>
                </a:lnTo>
                <a:lnTo>
                  <a:pt x="0" y="43"/>
                </a:lnTo>
                <a:lnTo>
                  <a:pt x="0" y="46"/>
                </a:lnTo>
                <a:lnTo>
                  <a:pt x="0" y="46"/>
                </a:lnTo>
                <a:lnTo>
                  <a:pt x="26" y="5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6" name="Freeform 265">
            <a:extLst>
              <a:ext uri="{FF2B5EF4-FFF2-40B4-BE49-F238E27FC236}">
                <a16:creationId xmlns:a16="http://schemas.microsoft.com/office/drawing/2014/main" id="{00000000-0008-0000-0100-00000A010000}"/>
              </a:ext>
            </a:extLst>
          </xdr:cNvPr>
          <xdr:cNvSpPr/>
        </xdr:nvSpPr>
        <xdr:spPr>
          <a:xfrm>
            <a:off x="10723" y="10188"/>
            <a:ext cx="53" cy="60"/>
          </a:xfrm>
          <a:custGeom>
            <a:avLst/>
            <a:gdLst/>
            <a:ahLst/>
            <a:cxnLst>
              <a:cxn ang="0">
                <a:pos x="21" y="60"/>
              </a:cxn>
              <a:cxn ang="0">
                <a:pos x="21" y="60"/>
              </a:cxn>
              <a:cxn ang="0">
                <a:pos x="24" y="55"/>
              </a:cxn>
              <a:cxn ang="0">
                <a:pos x="30" y="49"/>
              </a:cxn>
              <a:cxn ang="0">
                <a:pos x="36" y="43"/>
              </a:cxn>
              <a:cxn ang="0">
                <a:pos x="39" y="37"/>
              </a:cxn>
              <a:cxn ang="0">
                <a:pos x="42" y="32"/>
              </a:cxn>
              <a:cxn ang="0">
                <a:pos x="47" y="26"/>
              </a:cxn>
              <a:cxn ang="0">
                <a:pos x="50" y="17"/>
              </a:cxn>
              <a:cxn ang="0">
                <a:pos x="53" y="9"/>
              </a:cxn>
              <a:cxn ang="0">
                <a:pos x="27" y="0"/>
              </a:cxn>
              <a:cxn ang="0">
                <a:pos x="24" y="6"/>
              </a:cxn>
              <a:cxn ang="0">
                <a:pos x="21" y="12"/>
              </a:cxn>
              <a:cxn ang="0">
                <a:pos x="18" y="17"/>
              </a:cxn>
              <a:cxn ang="0">
                <a:pos x="15" y="23"/>
              </a:cxn>
              <a:cxn ang="0">
                <a:pos x="12" y="29"/>
              </a:cxn>
              <a:cxn ang="0">
                <a:pos x="9" y="32"/>
              </a:cxn>
              <a:cxn ang="0">
                <a:pos x="6" y="35"/>
              </a:cxn>
              <a:cxn ang="0">
                <a:pos x="0" y="40"/>
              </a:cxn>
              <a:cxn ang="0">
                <a:pos x="0" y="40"/>
              </a:cxn>
              <a:cxn ang="0">
                <a:pos x="21" y="60"/>
              </a:cxn>
            </a:cxnLst>
            <a:rect l="0" t="0" r="r" b="b"/>
            <a:pathLst>
              <a:path w="53" h="60">
                <a:moveTo>
                  <a:pt x="21" y="60"/>
                </a:moveTo>
                <a:lnTo>
                  <a:pt x="21" y="60"/>
                </a:lnTo>
                <a:lnTo>
                  <a:pt x="24" y="55"/>
                </a:lnTo>
                <a:lnTo>
                  <a:pt x="30" y="49"/>
                </a:lnTo>
                <a:lnTo>
                  <a:pt x="36" y="43"/>
                </a:lnTo>
                <a:lnTo>
                  <a:pt x="39" y="37"/>
                </a:lnTo>
                <a:lnTo>
                  <a:pt x="42" y="32"/>
                </a:lnTo>
                <a:lnTo>
                  <a:pt x="47" y="26"/>
                </a:lnTo>
                <a:lnTo>
                  <a:pt x="50" y="17"/>
                </a:lnTo>
                <a:lnTo>
                  <a:pt x="53" y="9"/>
                </a:lnTo>
                <a:lnTo>
                  <a:pt x="27" y="0"/>
                </a:lnTo>
                <a:lnTo>
                  <a:pt x="24" y="6"/>
                </a:lnTo>
                <a:lnTo>
                  <a:pt x="21" y="12"/>
                </a:lnTo>
                <a:lnTo>
                  <a:pt x="18" y="17"/>
                </a:lnTo>
                <a:lnTo>
                  <a:pt x="15" y="23"/>
                </a:lnTo>
                <a:lnTo>
                  <a:pt x="12" y="29"/>
                </a:lnTo>
                <a:lnTo>
                  <a:pt x="9" y="32"/>
                </a:lnTo>
                <a:lnTo>
                  <a:pt x="6" y="35"/>
                </a:lnTo>
                <a:lnTo>
                  <a:pt x="0" y="40"/>
                </a:lnTo>
                <a:lnTo>
                  <a:pt x="0" y="40"/>
                </a:lnTo>
                <a:lnTo>
                  <a:pt x="21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7" name="Freeform 266">
            <a:extLst>
              <a:ext uri="{FF2B5EF4-FFF2-40B4-BE49-F238E27FC236}">
                <a16:creationId xmlns:a16="http://schemas.microsoft.com/office/drawing/2014/main" id="{00000000-0008-0000-0100-00000B010000}"/>
              </a:ext>
            </a:extLst>
          </xdr:cNvPr>
          <xdr:cNvSpPr/>
        </xdr:nvSpPr>
        <xdr:spPr>
          <a:xfrm>
            <a:off x="10688" y="10228"/>
            <a:ext cx="56" cy="44"/>
          </a:xfrm>
          <a:custGeom>
            <a:avLst/>
            <a:gdLst/>
            <a:ahLst/>
            <a:cxnLst>
              <a:cxn ang="0">
                <a:pos x="0" y="44"/>
              </a:cxn>
              <a:cxn ang="0">
                <a:pos x="0" y="44"/>
              </a:cxn>
              <a:cxn ang="0">
                <a:pos x="9" y="41"/>
              </a:cxn>
              <a:cxn ang="0">
                <a:pos x="15" y="41"/>
              </a:cxn>
              <a:cxn ang="0">
                <a:pos x="24" y="38"/>
              </a:cxn>
              <a:cxn ang="0">
                <a:pos x="30" y="38"/>
              </a:cxn>
              <a:cxn ang="0">
                <a:pos x="38" y="32"/>
              </a:cxn>
              <a:cxn ang="0">
                <a:pos x="44" y="29"/>
              </a:cxn>
              <a:cxn ang="0">
                <a:pos x="50" y="26"/>
              </a:cxn>
              <a:cxn ang="0">
                <a:pos x="56" y="20"/>
              </a:cxn>
              <a:cxn ang="0">
                <a:pos x="35" y="0"/>
              </a:cxn>
              <a:cxn ang="0">
                <a:pos x="32" y="3"/>
              </a:cxn>
              <a:cxn ang="0">
                <a:pos x="30" y="6"/>
              </a:cxn>
              <a:cxn ang="0">
                <a:pos x="24" y="9"/>
              </a:cxn>
              <a:cxn ang="0">
                <a:pos x="21" y="12"/>
              </a:cxn>
              <a:cxn ang="0">
                <a:pos x="15" y="12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4"/>
              </a:cxn>
            </a:cxnLst>
            <a:rect l="0" t="0" r="r" b="b"/>
            <a:pathLst>
              <a:path w="56" h="44">
                <a:moveTo>
                  <a:pt x="0" y="44"/>
                </a:moveTo>
                <a:lnTo>
                  <a:pt x="0" y="44"/>
                </a:lnTo>
                <a:lnTo>
                  <a:pt x="9" y="41"/>
                </a:lnTo>
                <a:lnTo>
                  <a:pt x="15" y="41"/>
                </a:lnTo>
                <a:lnTo>
                  <a:pt x="24" y="38"/>
                </a:lnTo>
                <a:lnTo>
                  <a:pt x="30" y="38"/>
                </a:lnTo>
                <a:lnTo>
                  <a:pt x="38" y="32"/>
                </a:lnTo>
                <a:lnTo>
                  <a:pt x="44" y="29"/>
                </a:lnTo>
                <a:lnTo>
                  <a:pt x="50" y="26"/>
                </a:lnTo>
                <a:lnTo>
                  <a:pt x="56" y="20"/>
                </a:lnTo>
                <a:lnTo>
                  <a:pt x="35" y="0"/>
                </a:lnTo>
                <a:lnTo>
                  <a:pt x="32" y="3"/>
                </a:lnTo>
                <a:lnTo>
                  <a:pt x="30" y="6"/>
                </a:lnTo>
                <a:lnTo>
                  <a:pt x="24" y="9"/>
                </a:lnTo>
                <a:lnTo>
                  <a:pt x="21" y="12"/>
                </a:lnTo>
                <a:lnTo>
                  <a:pt x="15" y="12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8" name="Freeform 267">
            <a:extLst>
              <a:ext uri="{FF2B5EF4-FFF2-40B4-BE49-F238E27FC236}">
                <a16:creationId xmlns:a16="http://schemas.microsoft.com/office/drawing/2014/main" id="{00000000-0008-0000-0100-00000C010000}"/>
              </a:ext>
            </a:extLst>
          </xdr:cNvPr>
          <xdr:cNvSpPr/>
        </xdr:nvSpPr>
        <xdr:spPr>
          <a:xfrm>
            <a:off x="10659" y="10237"/>
            <a:ext cx="29" cy="35"/>
          </a:xfrm>
          <a:custGeom>
            <a:avLst/>
            <a:gdLst/>
            <a:ahLst/>
            <a:cxnLst>
              <a:cxn ang="0">
                <a:pos x="0" y="26"/>
              </a:cxn>
              <a:cxn ang="0">
                <a:pos x="0" y="26"/>
              </a:cxn>
              <a:cxn ang="0">
                <a:pos x="3" y="26"/>
              </a:cxn>
              <a:cxn ang="0">
                <a:pos x="6" y="29"/>
              </a:cxn>
              <a:cxn ang="0">
                <a:pos x="8" y="29"/>
              </a:cxn>
              <a:cxn ang="0">
                <a:pos x="14" y="32"/>
              </a:cxn>
              <a:cxn ang="0">
                <a:pos x="17" y="32"/>
              </a:cxn>
              <a:cxn ang="0">
                <a:pos x="20" y="32"/>
              </a:cxn>
              <a:cxn ang="0">
                <a:pos x="26" y="35"/>
              </a:cxn>
              <a:cxn ang="0">
                <a:pos x="29" y="35"/>
              </a:cxn>
              <a:cxn ang="0">
                <a:pos x="29" y="6"/>
              </a:cxn>
              <a:cxn ang="0">
                <a:pos x="26" y="6"/>
              </a:cxn>
              <a:cxn ang="0">
                <a:pos x="26" y="6"/>
              </a:cxn>
              <a:cxn ang="0">
                <a:pos x="23" y="6"/>
              </a:cxn>
              <a:cxn ang="0">
                <a:pos x="20" y="3"/>
              </a:cxn>
              <a:cxn ang="0">
                <a:pos x="20" y="3"/>
              </a:cxn>
              <a:cxn ang="0">
                <a:pos x="17" y="3"/>
              </a:cxn>
              <a:cxn ang="0">
                <a:pos x="14" y="0"/>
              </a:cxn>
              <a:cxn ang="0">
                <a:pos x="11" y="0"/>
              </a:cxn>
              <a:cxn ang="0">
                <a:pos x="11" y="0"/>
              </a:cxn>
              <a:cxn ang="0">
                <a:pos x="0" y="26"/>
              </a:cxn>
            </a:cxnLst>
            <a:rect l="0" t="0" r="r" b="b"/>
            <a:pathLst>
              <a:path w="29" h="35">
                <a:moveTo>
                  <a:pt x="0" y="26"/>
                </a:moveTo>
                <a:lnTo>
                  <a:pt x="0" y="26"/>
                </a:lnTo>
                <a:lnTo>
                  <a:pt x="3" y="26"/>
                </a:lnTo>
                <a:lnTo>
                  <a:pt x="6" y="29"/>
                </a:lnTo>
                <a:lnTo>
                  <a:pt x="8" y="29"/>
                </a:lnTo>
                <a:lnTo>
                  <a:pt x="14" y="32"/>
                </a:lnTo>
                <a:lnTo>
                  <a:pt x="17" y="32"/>
                </a:lnTo>
                <a:lnTo>
                  <a:pt x="20" y="32"/>
                </a:lnTo>
                <a:lnTo>
                  <a:pt x="26" y="35"/>
                </a:lnTo>
                <a:lnTo>
                  <a:pt x="29" y="35"/>
                </a:lnTo>
                <a:lnTo>
                  <a:pt x="29" y="6"/>
                </a:lnTo>
                <a:lnTo>
                  <a:pt x="26" y="6"/>
                </a:lnTo>
                <a:lnTo>
                  <a:pt x="26" y="6"/>
                </a:lnTo>
                <a:lnTo>
                  <a:pt x="23" y="6"/>
                </a:lnTo>
                <a:lnTo>
                  <a:pt x="20" y="3"/>
                </a:lnTo>
                <a:lnTo>
                  <a:pt x="20" y="3"/>
                </a:lnTo>
                <a:lnTo>
                  <a:pt x="17" y="3"/>
                </a:lnTo>
                <a:lnTo>
                  <a:pt x="14" y="0"/>
                </a:lnTo>
                <a:lnTo>
                  <a:pt x="11" y="0"/>
                </a:lnTo>
                <a:lnTo>
                  <a:pt x="11" y="0"/>
                </a:lnTo>
                <a:lnTo>
                  <a:pt x="0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9" name="Freeform 268">
            <a:extLst>
              <a:ext uri="{FF2B5EF4-FFF2-40B4-BE49-F238E27FC236}">
                <a16:creationId xmlns:a16="http://schemas.microsoft.com/office/drawing/2014/main" id="{00000000-0008-0000-0100-00000D010000}"/>
              </a:ext>
            </a:extLst>
          </xdr:cNvPr>
          <xdr:cNvSpPr/>
        </xdr:nvSpPr>
        <xdr:spPr>
          <a:xfrm>
            <a:off x="10635" y="10228"/>
            <a:ext cx="35" cy="35"/>
          </a:xfrm>
          <a:custGeom>
            <a:avLst/>
            <a:gdLst/>
            <a:ahLst/>
            <a:cxnLst>
              <a:cxn ang="0">
                <a:pos x="0" y="15"/>
              </a:cxn>
              <a:cxn ang="0">
                <a:pos x="0" y="15"/>
              </a:cxn>
              <a:cxn ang="0">
                <a:pos x="3" y="18"/>
              </a:cxn>
              <a:cxn ang="0">
                <a:pos x="6" y="23"/>
              </a:cxn>
              <a:cxn ang="0">
                <a:pos x="9" y="23"/>
              </a:cxn>
              <a:cxn ang="0">
                <a:pos x="9" y="26"/>
              </a:cxn>
              <a:cxn ang="0">
                <a:pos x="12" y="29"/>
              </a:cxn>
              <a:cxn ang="0">
                <a:pos x="18" y="32"/>
              </a:cxn>
              <a:cxn ang="0">
                <a:pos x="18" y="32"/>
              </a:cxn>
              <a:cxn ang="0">
                <a:pos x="24" y="35"/>
              </a:cxn>
              <a:cxn ang="0">
                <a:pos x="35" y="9"/>
              </a:cxn>
              <a:cxn ang="0">
                <a:pos x="32" y="9"/>
              </a:cxn>
              <a:cxn ang="0">
                <a:pos x="30" y="6"/>
              </a:cxn>
              <a:cxn ang="0">
                <a:pos x="30" y="3"/>
              </a:cxn>
              <a:cxn ang="0">
                <a:pos x="27" y="3"/>
              </a:cxn>
              <a:cxn ang="0">
                <a:pos x="27" y="0"/>
              </a:cxn>
              <a:cxn ang="0">
                <a:pos x="24" y="0"/>
              </a:cxn>
              <a:cxn ang="0">
                <a:pos x="24" y="0"/>
              </a:cxn>
              <a:cxn ang="0">
                <a:pos x="0" y="15"/>
              </a:cxn>
            </a:cxnLst>
            <a:rect l="0" t="0" r="r" b="b"/>
            <a:pathLst>
              <a:path w="35" h="35">
                <a:moveTo>
                  <a:pt x="0" y="15"/>
                </a:moveTo>
                <a:lnTo>
                  <a:pt x="0" y="15"/>
                </a:lnTo>
                <a:lnTo>
                  <a:pt x="3" y="18"/>
                </a:lnTo>
                <a:lnTo>
                  <a:pt x="6" y="23"/>
                </a:lnTo>
                <a:lnTo>
                  <a:pt x="9" y="23"/>
                </a:lnTo>
                <a:lnTo>
                  <a:pt x="9" y="26"/>
                </a:lnTo>
                <a:lnTo>
                  <a:pt x="12" y="29"/>
                </a:lnTo>
                <a:lnTo>
                  <a:pt x="18" y="32"/>
                </a:lnTo>
                <a:lnTo>
                  <a:pt x="18" y="32"/>
                </a:lnTo>
                <a:lnTo>
                  <a:pt x="24" y="35"/>
                </a:lnTo>
                <a:lnTo>
                  <a:pt x="35" y="9"/>
                </a:lnTo>
                <a:lnTo>
                  <a:pt x="32" y="9"/>
                </a:lnTo>
                <a:lnTo>
                  <a:pt x="30" y="6"/>
                </a:lnTo>
                <a:lnTo>
                  <a:pt x="30" y="3"/>
                </a:lnTo>
                <a:lnTo>
                  <a:pt x="27" y="3"/>
                </a:lnTo>
                <a:lnTo>
                  <a:pt x="27" y="0"/>
                </a:lnTo>
                <a:lnTo>
                  <a:pt x="24" y="0"/>
                </a:lnTo>
                <a:lnTo>
                  <a:pt x="24" y="0"/>
                </a:lnTo>
                <a:lnTo>
                  <a:pt x="0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0" name="Freeform 269">
            <a:extLst>
              <a:ext uri="{FF2B5EF4-FFF2-40B4-BE49-F238E27FC236}">
                <a16:creationId xmlns:a16="http://schemas.microsoft.com/office/drawing/2014/main" id="{00000000-0008-0000-0100-00000E010000}"/>
              </a:ext>
            </a:extLst>
          </xdr:cNvPr>
          <xdr:cNvSpPr/>
        </xdr:nvSpPr>
        <xdr:spPr>
          <a:xfrm>
            <a:off x="10626" y="10208"/>
            <a:ext cx="33" cy="35"/>
          </a:xfrm>
          <a:custGeom>
            <a:avLst/>
            <a:gdLst/>
            <a:ahLst/>
            <a:cxnLst>
              <a:cxn ang="0">
                <a:pos x="0" y="9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3" y="17"/>
              </a:cxn>
              <a:cxn ang="0">
                <a:pos x="3" y="20"/>
              </a:cxn>
              <a:cxn ang="0">
                <a:pos x="6" y="26"/>
              </a:cxn>
              <a:cxn ang="0">
                <a:pos x="6" y="29"/>
              </a:cxn>
              <a:cxn ang="0">
                <a:pos x="6" y="32"/>
              </a:cxn>
              <a:cxn ang="0">
                <a:pos x="9" y="35"/>
              </a:cxn>
              <a:cxn ang="0">
                <a:pos x="33" y="20"/>
              </a:cxn>
              <a:cxn ang="0">
                <a:pos x="33" y="17"/>
              </a:cxn>
              <a:cxn ang="0">
                <a:pos x="30" y="15"/>
              </a:cxn>
              <a:cxn ang="0">
                <a:pos x="30" y="12"/>
              </a:cxn>
              <a:cxn ang="0">
                <a:pos x="30" y="12"/>
              </a:cxn>
              <a:cxn ang="0">
                <a:pos x="27" y="9"/>
              </a:cxn>
              <a:cxn ang="0">
                <a:pos x="27" y="9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0" y="9"/>
              </a:cxn>
            </a:cxnLst>
            <a:rect l="0" t="0" r="r" b="b"/>
            <a:pathLst>
              <a:path w="33" h="35">
                <a:moveTo>
                  <a:pt x="0" y="9"/>
                </a:move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3" y="17"/>
                </a:lnTo>
                <a:lnTo>
                  <a:pt x="3" y="20"/>
                </a:lnTo>
                <a:lnTo>
                  <a:pt x="6" y="26"/>
                </a:lnTo>
                <a:lnTo>
                  <a:pt x="6" y="29"/>
                </a:lnTo>
                <a:lnTo>
                  <a:pt x="6" y="32"/>
                </a:lnTo>
                <a:lnTo>
                  <a:pt x="9" y="35"/>
                </a:lnTo>
                <a:lnTo>
                  <a:pt x="33" y="20"/>
                </a:lnTo>
                <a:lnTo>
                  <a:pt x="33" y="17"/>
                </a:lnTo>
                <a:lnTo>
                  <a:pt x="30" y="15"/>
                </a:lnTo>
                <a:lnTo>
                  <a:pt x="30" y="12"/>
                </a:lnTo>
                <a:lnTo>
                  <a:pt x="30" y="12"/>
                </a:lnTo>
                <a:lnTo>
                  <a:pt x="27" y="9"/>
                </a:lnTo>
                <a:lnTo>
                  <a:pt x="27" y="9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0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1" name="Freeform 270">
            <a:extLst>
              <a:ext uri="{FF2B5EF4-FFF2-40B4-BE49-F238E27FC236}">
                <a16:creationId xmlns:a16="http://schemas.microsoft.com/office/drawing/2014/main" id="{00000000-0008-0000-0100-00000F010000}"/>
              </a:ext>
            </a:extLst>
          </xdr:cNvPr>
          <xdr:cNvSpPr/>
        </xdr:nvSpPr>
        <xdr:spPr>
          <a:xfrm>
            <a:off x="10620" y="10185"/>
            <a:ext cx="33" cy="3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12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3" y="26"/>
              </a:cxn>
              <a:cxn ang="0">
                <a:pos x="6" y="32"/>
              </a:cxn>
              <a:cxn ang="0">
                <a:pos x="33" y="23"/>
              </a:cxn>
              <a:cxn ang="0">
                <a:pos x="33" y="20"/>
              </a:cxn>
              <a:cxn ang="0">
                <a:pos x="30" y="17"/>
              </a:cxn>
              <a:cxn ang="0">
                <a:pos x="30" y="15"/>
              </a:cxn>
              <a:cxn ang="0">
                <a:pos x="30" y="12"/>
              </a:cxn>
              <a:cxn ang="0">
                <a:pos x="30" y="12"/>
              </a:cxn>
              <a:cxn ang="0">
                <a:pos x="30" y="6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3" h="32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12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3" y="26"/>
                </a:lnTo>
                <a:lnTo>
                  <a:pt x="6" y="32"/>
                </a:lnTo>
                <a:lnTo>
                  <a:pt x="33" y="23"/>
                </a:lnTo>
                <a:lnTo>
                  <a:pt x="33" y="20"/>
                </a:lnTo>
                <a:lnTo>
                  <a:pt x="30" y="17"/>
                </a:lnTo>
                <a:lnTo>
                  <a:pt x="30" y="15"/>
                </a:lnTo>
                <a:lnTo>
                  <a:pt x="30" y="12"/>
                </a:lnTo>
                <a:lnTo>
                  <a:pt x="30" y="12"/>
                </a:lnTo>
                <a:lnTo>
                  <a:pt x="30" y="6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2" name="Freeform 271">
            <a:extLst>
              <a:ext uri="{FF2B5EF4-FFF2-40B4-BE49-F238E27FC236}">
                <a16:creationId xmlns:a16="http://schemas.microsoft.com/office/drawing/2014/main" id="{00000000-0008-0000-0100-000010010000}"/>
              </a:ext>
            </a:extLst>
          </xdr:cNvPr>
          <xdr:cNvSpPr/>
        </xdr:nvSpPr>
        <xdr:spPr>
          <a:xfrm>
            <a:off x="10620" y="10182"/>
            <a:ext cx="30" cy="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30" y="3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3"/>
                </a:lnTo>
                <a:lnTo>
                  <a:pt x="30" y="3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3" name="Freeform 272">
            <a:extLst>
              <a:ext uri="{FF2B5EF4-FFF2-40B4-BE49-F238E27FC236}">
                <a16:creationId xmlns:a16="http://schemas.microsoft.com/office/drawing/2014/main" id="{00000000-0008-0000-0100-000011010000}"/>
              </a:ext>
            </a:extLst>
          </xdr:cNvPr>
          <xdr:cNvSpPr/>
        </xdr:nvSpPr>
        <xdr:spPr>
          <a:xfrm>
            <a:off x="10620" y="10165"/>
            <a:ext cx="30" cy="29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0" y="14"/>
              </a:cxn>
              <a:cxn ang="0">
                <a:pos x="0" y="14"/>
              </a:cxn>
              <a:cxn ang="0">
                <a:pos x="0" y="14"/>
              </a:cxn>
              <a:cxn ang="0">
                <a:pos x="0" y="17"/>
              </a:cxn>
              <a:cxn ang="0">
                <a:pos x="0" y="17"/>
              </a:cxn>
              <a:cxn ang="0">
                <a:pos x="30" y="17"/>
              </a:cxn>
              <a:cxn ang="0">
                <a:pos x="30" y="17"/>
              </a:cxn>
              <a:cxn ang="0">
                <a:pos x="30" y="14"/>
              </a:cxn>
              <a:cxn ang="0">
                <a:pos x="30" y="14"/>
              </a:cxn>
              <a:cxn ang="0">
                <a:pos x="30" y="14"/>
              </a:cxn>
              <a:cxn ang="0">
                <a:pos x="15" y="29"/>
              </a:cxn>
              <a:cxn ang="0">
                <a:pos x="15" y="0"/>
              </a:cxn>
              <a:cxn ang="0">
                <a:pos x="0" y="0"/>
              </a:cxn>
              <a:cxn ang="0">
                <a:pos x="0" y="14"/>
              </a:cxn>
              <a:cxn ang="0">
                <a:pos x="15" y="0"/>
              </a:cxn>
            </a:cxnLst>
            <a:rect l="0" t="0" r="r" b="b"/>
            <a:pathLst>
              <a:path w="30" h="29">
                <a:moveTo>
                  <a:pt x="15" y="0"/>
                </a:moveTo>
                <a:lnTo>
                  <a:pt x="0" y="14"/>
                </a:lnTo>
                <a:lnTo>
                  <a:pt x="0" y="14"/>
                </a:lnTo>
                <a:lnTo>
                  <a:pt x="0" y="14"/>
                </a:lnTo>
                <a:lnTo>
                  <a:pt x="0" y="17"/>
                </a:lnTo>
                <a:lnTo>
                  <a:pt x="0" y="17"/>
                </a:lnTo>
                <a:lnTo>
                  <a:pt x="30" y="17"/>
                </a:lnTo>
                <a:lnTo>
                  <a:pt x="30" y="17"/>
                </a:lnTo>
                <a:lnTo>
                  <a:pt x="30" y="14"/>
                </a:lnTo>
                <a:lnTo>
                  <a:pt x="30" y="14"/>
                </a:lnTo>
                <a:lnTo>
                  <a:pt x="30" y="14"/>
                </a:lnTo>
                <a:lnTo>
                  <a:pt x="15" y="29"/>
                </a:lnTo>
                <a:lnTo>
                  <a:pt x="15" y="0"/>
                </a:lnTo>
                <a:lnTo>
                  <a:pt x="0" y="0"/>
                </a:lnTo>
                <a:lnTo>
                  <a:pt x="0" y="14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4" name="Freeform 273">
            <a:extLst>
              <a:ext uri="{FF2B5EF4-FFF2-40B4-BE49-F238E27FC236}">
                <a16:creationId xmlns:a16="http://schemas.microsoft.com/office/drawing/2014/main" id="{00000000-0008-0000-0100-000012010000}"/>
              </a:ext>
            </a:extLst>
          </xdr:cNvPr>
          <xdr:cNvSpPr/>
        </xdr:nvSpPr>
        <xdr:spPr>
          <a:xfrm>
            <a:off x="10623" y="10165"/>
            <a:ext cx="27" cy="29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2" y="0"/>
              </a:cxn>
              <a:cxn ang="0">
                <a:pos x="12" y="0"/>
              </a:cxn>
              <a:cxn ang="0">
                <a:pos x="12" y="29"/>
              </a:cxn>
              <a:cxn ang="0">
                <a:pos x="12" y="29"/>
              </a:cxn>
              <a:cxn ang="0">
                <a:pos x="27" y="14"/>
              </a:cxn>
              <a:cxn ang="0">
                <a:pos x="12" y="29"/>
              </a:cxn>
              <a:cxn ang="0">
                <a:pos x="27" y="29"/>
              </a:cxn>
              <a:cxn ang="0">
                <a:pos x="27" y="14"/>
              </a:cxn>
              <a:cxn ang="0">
                <a:pos x="0" y="14"/>
              </a:cxn>
            </a:cxnLst>
            <a:rect l="0" t="0" r="r" b="b"/>
            <a:pathLst>
              <a:path w="27" h="29">
                <a:moveTo>
                  <a:pt x="0" y="14"/>
                </a:moveTo>
                <a:lnTo>
                  <a:pt x="12" y="0"/>
                </a:lnTo>
                <a:lnTo>
                  <a:pt x="12" y="0"/>
                </a:lnTo>
                <a:lnTo>
                  <a:pt x="12" y="29"/>
                </a:lnTo>
                <a:lnTo>
                  <a:pt x="12" y="29"/>
                </a:lnTo>
                <a:lnTo>
                  <a:pt x="27" y="14"/>
                </a:lnTo>
                <a:lnTo>
                  <a:pt x="12" y="29"/>
                </a:lnTo>
                <a:lnTo>
                  <a:pt x="27" y="29"/>
                </a:lnTo>
                <a:lnTo>
                  <a:pt x="27" y="14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5" name="Freeform 274">
            <a:extLst>
              <a:ext uri="{FF2B5EF4-FFF2-40B4-BE49-F238E27FC236}">
                <a16:creationId xmlns:a16="http://schemas.microsoft.com/office/drawing/2014/main" id="{00000000-0008-0000-0100-000013010000}"/>
              </a:ext>
            </a:extLst>
          </xdr:cNvPr>
          <xdr:cNvSpPr/>
        </xdr:nvSpPr>
        <xdr:spPr>
          <a:xfrm>
            <a:off x="10759" y="10058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8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8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6" name="Freeform 275">
            <a:extLst>
              <a:ext uri="{FF2B5EF4-FFF2-40B4-BE49-F238E27FC236}">
                <a16:creationId xmlns:a16="http://schemas.microsoft.com/office/drawing/2014/main" id="{00000000-0008-0000-0100-000014010000}"/>
              </a:ext>
            </a:extLst>
          </xdr:cNvPr>
          <xdr:cNvSpPr/>
        </xdr:nvSpPr>
        <xdr:spPr>
          <a:xfrm>
            <a:off x="10800" y="10058"/>
            <a:ext cx="59" cy="29"/>
          </a:xfrm>
          <a:custGeom>
            <a:avLst/>
            <a:gdLst/>
            <a:ahLst/>
            <a:cxnLst>
              <a:cxn ang="0">
                <a:pos x="59" y="12"/>
              </a:cxn>
              <a:cxn ang="0">
                <a:pos x="44" y="0"/>
              </a:cxn>
              <a:cxn ang="0">
                <a:pos x="0" y="0"/>
              </a:cxn>
              <a:cxn ang="0">
                <a:pos x="0" y="29"/>
              </a:cxn>
              <a:cxn ang="0">
                <a:pos x="44" y="29"/>
              </a:cxn>
              <a:cxn ang="0">
                <a:pos x="29" y="18"/>
              </a:cxn>
              <a:cxn ang="0">
                <a:pos x="59" y="12"/>
              </a:cxn>
              <a:cxn ang="0">
                <a:pos x="56" y="0"/>
              </a:cxn>
              <a:cxn ang="0">
                <a:pos x="44" y="0"/>
              </a:cxn>
              <a:cxn ang="0">
                <a:pos x="59" y="12"/>
              </a:cxn>
            </a:cxnLst>
            <a:rect l="0" t="0" r="r" b="b"/>
            <a:pathLst>
              <a:path w="59" h="29">
                <a:moveTo>
                  <a:pt x="59" y="12"/>
                </a:moveTo>
                <a:lnTo>
                  <a:pt x="44" y="0"/>
                </a:lnTo>
                <a:lnTo>
                  <a:pt x="0" y="0"/>
                </a:lnTo>
                <a:lnTo>
                  <a:pt x="0" y="29"/>
                </a:lnTo>
                <a:lnTo>
                  <a:pt x="44" y="29"/>
                </a:lnTo>
                <a:lnTo>
                  <a:pt x="29" y="18"/>
                </a:lnTo>
                <a:lnTo>
                  <a:pt x="59" y="12"/>
                </a:lnTo>
                <a:lnTo>
                  <a:pt x="56" y="0"/>
                </a:lnTo>
                <a:lnTo>
                  <a:pt x="44" y="0"/>
                </a:lnTo>
                <a:lnTo>
                  <a:pt x="59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7" name="Freeform 276">
            <a:extLst>
              <a:ext uri="{FF2B5EF4-FFF2-40B4-BE49-F238E27FC236}">
                <a16:creationId xmlns:a16="http://schemas.microsoft.com/office/drawing/2014/main" id="{00000000-0008-0000-0100-000015010000}"/>
              </a:ext>
            </a:extLst>
          </xdr:cNvPr>
          <xdr:cNvSpPr/>
        </xdr:nvSpPr>
        <xdr:spPr>
          <a:xfrm>
            <a:off x="10829" y="10070"/>
            <a:ext cx="50" cy="199"/>
          </a:xfrm>
          <a:custGeom>
            <a:avLst/>
            <a:gdLst/>
            <a:ahLst/>
            <a:cxnLst>
              <a:cxn ang="0">
                <a:pos x="21" y="109"/>
              </a:cxn>
              <a:cxn ang="0">
                <a:pos x="50" y="106"/>
              </a:cxn>
              <a:cxn ang="0">
                <a:pos x="30" y="0"/>
              </a:cxn>
              <a:cxn ang="0">
                <a:pos x="0" y="6"/>
              </a:cxn>
              <a:cxn ang="0">
                <a:pos x="24" y="112"/>
              </a:cxn>
              <a:cxn ang="0">
                <a:pos x="50" y="112"/>
              </a:cxn>
              <a:cxn ang="0">
                <a:pos x="24" y="112"/>
              </a:cxn>
              <a:cxn ang="0">
                <a:pos x="39" y="199"/>
              </a:cxn>
              <a:cxn ang="0">
                <a:pos x="50" y="112"/>
              </a:cxn>
              <a:cxn ang="0">
                <a:pos x="21" y="109"/>
              </a:cxn>
            </a:cxnLst>
            <a:rect l="0" t="0" r="r" b="b"/>
            <a:pathLst>
              <a:path w="50" h="199">
                <a:moveTo>
                  <a:pt x="21" y="109"/>
                </a:moveTo>
                <a:lnTo>
                  <a:pt x="50" y="106"/>
                </a:lnTo>
                <a:lnTo>
                  <a:pt x="30" y="0"/>
                </a:lnTo>
                <a:lnTo>
                  <a:pt x="0" y="6"/>
                </a:lnTo>
                <a:lnTo>
                  <a:pt x="24" y="112"/>
                </a:lnTo>
                <a:lnTo>
                  <a:pt x="50" y="112"/>
                </a:lnTo>
                <a:lnTo>
                  <a:pt x="24" y="112"/>
                </a:lnTo>
                <a:lnTo>
                  <a:pt x="39" y="199"/>
                </a:lnTo>
                <a:lnTo>
                  <a:pt x="50" y="112"/>
                </a:lnTo>
                <a:lnTo>
                  <a:pt x="21" y="10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8" name="Freeform 277">
            <a:extLst>
              <a:ext uri="{FF2B5EF4-FFF2-40B4-BE49-F238E27FC236}">
                <a16:creationId xmlns:a16="http://schemas.microsoft.com/office/drawing/2014/main" id="{00000000-0008-0000-0100-000016010000}"/>
              </a:ext>
            </a:extLst>
          </xdr:cNvPr>
          <xdr:cNvSpPr/>
        </xdr:nvSpPr>
        <xdr:spPr>
          <a:xfrm>
            <a:off x="10850" y="10179"/>
            <a:ext cx="29" cy="9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5" y="0"/>
              </a:cxn>
              <a:cxn ang="0">
                <a:pos x="29" y="3"/>
              </a:cxn>
              <a:cxn ang="0">
                <a:pos x="3" y="3"/>
              </a:cxn>
              <a:cxn ang="0">
                <a:pos x="18" y="90"/>
              </a:cxn>
              <a:cxn ang="0">
                <a:pos x="29" y="3"/>
              </a:cxn>
              <a:cxn ang="0">
                <a:pos x="0" y="0"/>
              </a:cxn>
            </a:cxnLst>
            <a:rect l="0" t="0" r="r" b="b"/>
            <a:pathLst>
              <a:path w="29" h="90">
                <a:moveTo>
                  <a:pt x="0" y="0"/>
                </a:moveTo>
                <a:lnTo>
                  <a:pt x="15" y="0"/>
                </a:lnTo>
                <a:lnTo>
                  <a:pt x="29" y="3"/>
                </a:lnTo>
                <a:lnTo>
                  <a:pt x="3" y="3"/>
                </a:lnTo>
                <a:lnTo>
                  <a:pt x="18" y="90"/>
                </a:lnTo>
                <a:lnTo>
                  <a:pt x="29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9" name="Freeform 278">
            <a:extLst>
              <a:ext uri="{FF2B5EF4-FFF2-40B4-BE49-F238E27FC236}">
                <a16:creationId xmlns:a16="http://schemas.microsoft.com/office/drawing/2014/main" id="{00000000-0008-0000-0100-000017010000}"/>
              </a:ext>
            </a:extLst>
          </xdr:cNvPr>
          <xdr:cNvSpPr/>
        </xdr:nvSpPr>
        <xdr:spPr>
          <a:xfrm>
            <a:off x="10850" y="10142"/>
            <a:ext cx="32" cy="40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6"/>
              </a:cxn>
              <a:cxn ang="0">
                <a:pos x="3" y="9"/>
              </a:cxn>
              <a:cxn ang="0">
                <a:pos x="3" y="14"/>
              </a:cxn>
              <a:cxn ang="0">
                <a:pos x="3" y="17"/>
              </a:cxn>
              <a:cxn ang="0">
                <a:pos x="3" y="23"/>
              </a:cxn>
              <a:cxn ang="0">
                <a:pos x="3" y="29"/>
              </a:cxn>
              <a:cxn ang="0">
                <a:pos x="3" y="34"/>
              </a:cxn>
              <a:cxn ang="0">
                <a:pos x="0" y="37"/>
              </a:cxn>
              <a:cxn ang="0">
                <a:pos x="29" y="40"/>
              </a:cxn>
              <a:cxn ang="0">
                <a:pos x="29" y="34"/>
              </a:cxn>
              <a:cxn ang="0">
                <a:pos x="29" y="29"/>
              </a:cxn>
              <a:cxn ang="0">
                <a:pos x="29" y="23"/>
              </a:cxn>
              <a:cxn ang="0">
                <a:pos x="29" y="17"/>
              </a:cxn>
              <a:cxn ang="0">
                <a:pos x="29" y="14"/>
              </a:cxn>
              <a:cxn ang="0">
                <a:pos x="29" y="9"/>
              </a:cxn>
              <a:cxn ang="0">
                <a:pos x="32" y="6"/>
              </a:cxn>
              <a:cxn ang="0">
                <a:pos x="32" y="3"/>
              </a:cxn>
              <a:cxn ang="0">
                <a:pos x="32" y="0"/>
              </a:cxn>
              <a:cxn ang="0">
                <a:pos x="3" y="0"/>
              </a:cxn>
            </a:cxnLst>
            <a:rect l="0" t="0" r="r" b="b"/>
            <a:pathLst>
              <a:path w="32" h="40">
                <a:moveTo>
                  <a:pt x="3" y="0"/>
                </a:moveTo>
                <a:lnTo>
                  <a:pt x="3" y="0"/>
                </a:lnTo>
                <a:lnTo>
                  <a:pt x="3" y="6"/>
                </a:lnTo>
                <a:lnTo>
                  <a:pt x="3" y="9"/>
                </a:lnTo>
                <a:lnTo>
                  <a:pt x="3" y="14"/>
                </a:lnTo>
                <a:lnTo>
                  <a:pt x="3" y="17"/>
                </a:lnTo>
                <a:lnTo>
                  <a:pt x="3" y="23"/>
                </a:lnTo>
                <a:lnTo>
                  <a:pt x="3" y="29"/>
                </a:lnTo>
                <a:lnTo>
                  <a:pt x="3" y="34"/>
                </a:lnTo>
                <a:lnTo>
                  <a:pt x="0" y="37"/>
                </a:lnTo>
                <a:lnTo>
                  <a:pt x="29" y="40"/>
                </a:lnTo>
                <a:lnTo>
                  <a:pt x="29" y="34"/>
                </a:lnTo>
                <a:lnTo>
                  <a:pt x="29" y="29"/>
                </a:lnTo>
                <a:lnTo>
                  <a:pt x="29" y="23"/>
                </a:lnTo>
                <a:lnTo>
                  <a:pt x="29" y="17"/>
                </a:lnTo>
                <a:lnTo>
                  <a:pt x="29" y="14"/>
                </a:lnTo>
                <a:lnTo>
                  <a:pt x="29" y="9"/>
                </a:lnTo>
                <a:lnTo>
                  <a:pt x="32" y="6"/>
                </a:lnTo>
                <a:lnTo>
                  <a:pt x="32" y="3"/>
                </a:lnTo>
                <a:lnTo>
                  <a:pt x="32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0" name="Freeform 279">
            <a:extLst>
              <a:ext uri="{FF2B5EF4-FFF2-40B4-BE49-F238E27FC236}">
                <a16:creationId xmlns:a16="http://schemas.microsoft.com/office/drawing/2014/main" id="{00000000-0008-0000-0100-000018010000}"/>
              </a:ext>
            </a:extLst>
          </xdr:cNvPr>
          <xdr:cNvSpPr/>
        </xdr:nvSpPr>
        <xdr:spPr>
          <a:xfrm>
            <a:off x="10853" y="10119"/>
            <a:ext cx="29" cy="23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6"/>
              </a:cxn>
              <a:cxn ang="0">
                <a:pos x="3" y="9"/>
              </a:cxn>
              <a:cxn ang="0">
                <a:pos x="3" y="11"/>
              </a:cxn>
              <a:cxn ang="0">
                <a:pos x="0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29" y="11"/>
              </a:cxn>
              <a:cxn ang="0">
                <a:pos x="29" y="9"/>
              </a:cxn>
              <a:cxn ang="0">
                <a:pos x="29" y="6"/>
              </a:cxn>
              <a:cxn ang="0">
                <a:pos x="29" y="3"/>
              </a:cxn>
              <a:cxn ang="0">
                <a:pos x="29" y="3"/>
              </a:cxn>
              <a:cxn ang="0">
                <a:pos x="29" y="6"/>
              </a:cxn>
              <a:cxn ang="0">
                <a:pos x="3" y="0"/>
              </a:cxn>
            </a:cxnLst>
            <a:rect l="0" t="0" r="r" b="b"/>
            <a:pathLst>
              <a:path w="29" h="23">
                <a:moveTo>
                  <a:pt x="3" y="0"/>
                </a:moveTo>
                <a:lnTo>
                  <a:pt x="3" y="3"/>
                </a:lnTo>
                <a:lnTo>
                  <a:pt x="3" y="3"/>
                </a:lnTo>
                <a:lnTo>
                  <a:pt x="3" y="6"/>
                </a:lnTo>
                <a:lnTo>
                  <a:pt x="3" y="9"/>
                </a:lnTo>
                <a:lnTo>
                  <a:pt x="3" y="11"/>
                </a:lnTo>
                <a:lnTo>
                  <a:pt x="0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29" y="11"/>
                </a:lnTo>
                <a:lnTo>
                  <a:pt x="29" y="9"/>
                </a:lnTo>
                <a:lnTo>
                  <a:pt x="29" y="6"/>
                </a:lnTo>
                <a:lnTo>
                  <a:pt x="29" y="3"/>
                </a:lnTo>
                <a:lnTo>
                  <a:pt x="29" y="3"/>
                </a:lnTo>
                <a:lnTo>
                  <a:pt x="29" y="6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1" name="Freeform 280">
            <a:extLst>
              <a:ext uri="{FF2B5EF4-FFF2-40B4-BE49-F238E27FC236}">
                <a16:creationId xmlns:a16="http://schemas.microsoft.com/office/drawing/2014/main" id="{00000000-0008-0000-0100-000019010000}"/>
              </a:ext>
            </a:extLst>
          </xdr:cNvPr>
          <xdr:cNvSpPr/>
        </xdr:nvSpPr>
        <xdr:spPr>
          <a:xfrm>
            <a:off x="10856" y="10093"/>
            <a:ext cx="32" cy="29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0"/>
              </a:cxn>
              <a:cxn ang="0">
                <a:pos x="3" y="6"/>
              </a:cxn>
              <a:cxn ang="0">
                <a:pos x="3" y="9"/>
              </a:cxn>
              <a:cxn ang="0">
                <a:pos x="3" y="11"/>
              </a:cxn>
              <a:cxn ang="0">
                <a:pos x="3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26" y="29"/>
              </a:cxn>
              <a:cxn ang="0">
                <a:pos x="26" y="29"/>
              </a:cxn>
              <a:cxn ang="0">
                <a:pos x="29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9"/>
              </a:cxn>
              <a:cxn ang="0">
                <a:pos x="32" y="6"/>
              </a:cxn>
              <a:cxn ang="0">
                <a:pos x="6" y="3"/>
              </a:cxn>
            </a:cxnLst>
            <a:rect l="0" t="0" r="r" b="b"/>
            <a:pathLst>
              <a:path w="32" h="29">
                <a:moveTo>
                  <a:pt x="6" y="3"/>
                </a:moveTo>
                <a:lnTo>
                  <a:pt x="6" y="0"/>
                </a:lnTo>
                <a:lnTo>
                  <a:pt x="3" y="6"/>
                </a:lnTo>
                <a:lnTo>
                  <a:pt x="3" y="9"/>
                </a:lnTo>
                <a:lnTo>
                  <a:pt x="3" y="11"/>
                </a:lnTo>
                <a:lnTo>
                  <a:pt x="3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26" y="29"/>
                </a:lnTo>
                <a:lnTo>
                  <a:pt x="26" y="29"/>
                </a:lnTo>
                <a:lnTo>
                  <a:pt x="29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9"/>
                </a:lnTo>
                <a:lnTo>
                  <a:pt x="32" y="6"/>
                </a:lnTo>
                <a:lnTo>
                  <a:pt x="6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2" name="Freeform 281">
            <a:extLst>
              <a:ext uri="{FF2B5EF4-FFF2-40B4-BE49-F238E27FC236}">
                <a16:creationId xmlns:a16="http://schemas.microsoft.com/office/drawing/2014/main" id="{00000000-0008-0000-0100-00001A010000}"/>
              </a:ext>
            </a:extLst>
          </xdr:cNvPr>
          <xdr:cNvSpPr/>
        </xdr:nvSpPr>
        <xdr:spPr>
          <a:xfrm>
            <a:off x="10862" y="10058"/>
            <a:ext cx="29" cy="41"/>
          </a:xfrm>
          <a:custGeom>
            <a:avLst/>
            <a:gdLst/>
            <a:ahLst/>
            <a:cxnLst>
              <a:cxn ang="0">
                <a:pos x="14" y="0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3"/>
              </a:cxn>
              <a:cxn ang="0">
                <a:pos x="0" y="23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26" y="41"/>
              </a:cxn>
              <a:cxn ang="0">
                <a:pos x="26" y="38"/>
              </a:cxn>
              <a:cxn ang="0">
                <a:pos x="26" y="35"/>
              </a:cxn>
              <a:cxn ang="0">
                <a:pos x="26" y="32"/>
              </a:cxn>
              <a:cxn ang="0">
                <a:pos x="26" y="29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5"/>
              </a:cxn>
              <a:cxn ang="0">
                <a:pos x="14" y="29"/>
              </a:cxn>
              <a:cxn ang="0">
                <a:pos x="14" y="0"/>
              </a:cxn>
              <a:cxn ang="0">
                <a:pos x="0" y="0"/>
              </a:cxn>
              <a:cxn ang="0">
                <a:pos x="0" y="15"/>
              </a:cxn>
              <a:cxn ang="0">
                <a:pos x="14" y="0"/>
              </a:cxn>
            </a:cxnLst>
            <a:rect l="0" t="0" r="r" b="b"/>
            <a:pathLst>
              <a:path w="29" h="41">
                <a:moveTo>
                  <a:pt x="14" y="0"/>
                </a:move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3"/>
                </a:lnTo>
                <a:lnTo>
                  <a:pt x="0" y="23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26" y="41"/>
                </a:lnTo>
                <a:lnTo>
                  <a:pt x="26" y="38"/>
                </a:lnTo>
                <a:lnTo>
                  <a:pt x="26" y="35"/>
                </a:lnTo>
                <a:lnTo>
                  <a:pt x="26" y="32"/>
                </a:lnTo>
                <a:lnTo>
                  <a:pt x="26" y="29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5"/>
                </a:lnTo>
                <a:lnTo>
                  <a:pt x="14" y="29"/>
                </a:lnTo>
                <a:lnTo>
                  <a:pt x="14" y="0"/>
                </a:lnTo>
                <a:lnTo>
                  <a:pt x="0" y="0"/>
                </a:lnTo>
                <a:lnTo>
                  <a:pt x="0" y="15"/>
                </a:lnTo>
                <a:lnTo>
                  <a:pt x="1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3" name="Freeform 282">
            <a:extLst>
              <a:ext uri="{FF2B5EF4-FFF2-40B4-BE49-F238E27FC236}">
                <a16:creationId xmlns:a16="http://schemas.microsoft.com/office/drawing/2014/main" id="{00000000-0008-0000-0100-00001B010000}"/>
              </a:ext>
            </a:extLst>
          </xdr:cNvPr>
          <xdr:cNvSpPr/>
        </xdr:nvSpPr>
        <xdr:spPr>
          <a:xfrm>
            <a:off x="10876" y="10058"/>
            <a:ext cx="62" cy="29"/>
          </a:xfrm>
          <a:custGeom>
            <a:avLst/>
            <a:gdLst/>
            <a:ahLst/>
            <a:cxnLst>
              <a:cxn ang="0">
                <a:pos x="59" y="18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3" y="12"/>
              </a:cxn>
              <a:cxn ang="0">
                <a:pos x="59" y="18"/>
              </a:cxn>
              <a:cxn ang="0">
                <a:pos x="62" y="0"/>
              </a:cxn>
              <a:cxn ang="0">
                <a:pos x="47" y="0"/>
              </a:cxn>
              <a:cxn ang="0">
                <a:pos x="59" y="18"/>
              </a:cxn>
            </a:cxnLst>
            <a:rect l="0" t="0" r="r" b="b"/>
            <a:pathLst>
              <a:path w="62" h="29">
                <a:moveTo>
                  <a:pt x="59" y="18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3" y="12"/>
                </a:lnTo>
                <a:lnTo>
                  <a:pt x="59" y="18"/>
                </a:lnTo>
                <a:lnTo>
                  <a:pt x="62" y="0"/>
                </a:lnTo>
                <a:lnTo>
                  <a:pt x="47" y="0"/>
                </a:lnTo>
                <a:lnTo>
                  <a:pt x="59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4" name="Freeform 283">
            <a:extLst>
              <a:ext uri="{FF2B5EF4-FFF2-40B4-BE49-F238E27FC236}">
                <a16:creationId xmlns:a16="http://schemas.microsoft.com/office/drawing/2014/main" id="{00000000-0008-0000-0100-00001C010000}"/>
              </a:ext>
            </a:extLst>
          </xdr:cNvPr>
          <xdr:cNvSpPr/>
        </xdr:nvSpPr>
        <xdr:spPr>
          <a:xfrm>
            <a:off x="10879" y="10070"/>
            <a:ext cx="56" cy="196"/>
          </a:xfrm>
          <a:custGeom>
            <a:avLst/>
            <a:gdLst/>
            <a:ahLst/>
            <a:cxnLst>
              <a:cxn ang="0">
                <a:pos x="15" y="196"/>
              </a:cxn>
              <a:cxn ang="0">
                <a:pos x="30" y="184"/>
              </a:cxn>
              <a:cxn ang="0">
                <a:pos x="56" y="6"/>
              </a:cxn>
              <a:cxn ang="0">
                <a:pos x="30" y="0"/>
              </a:cxn>
              <a:cxn ang="0">
                <a:pos x="0" y="181"/>
              </a:cxn>
              <a:cxn ang="0">
                <a:pos x="15" y="167"/>
              </a:cxn>
              <a:cxn ang="0">
                <a:pos x="15" y="196"/>
              </a:cxn>
              <a:cxn ang="0">
                <a:pos x="27" y="196"/>
              </a:cxn>
              <a:cxn ang="0">
                <a:pos x="30" y="184"/>
              </a:cxn>
              <a:cxn ang="0">
                <a:pos x="15" y="196"/>
              </a:cxn>
            </a:cxnLst>
            <a:rect l="0" t="0" r="r" b="b"/>
            <a:pathLst>
              <a:path w="56" h="196">
                <a:moveTo>
                  <a:pt x="15" y="196"/>
                </a:moveTo>
                <a:lnTo>
                  <a:pt x="30" y="184"/>
                </a:lnTo>
                <a:lnTo>
                  <a:pt x="56" y="6"/>
                </a:lnTo>
                <a:lnTo>
                  <a:pt x="30" y="0"/>
                </a:lnTo>
                <a:lnTo>
                  <a:pt x="0" y="181"/>
                </a:lnTo>
                <a:lnTo>
                  <a:pt x="15" y="167"/>
                </a:lnTo>
                <a:lnTo>
                  <a:pt x="15" y="196"/>
                </a:lnTo>
                <a:lnTo>
                  <a:pt x="27" y="196"/>
                </a:lnTo>
                <a:lnTo>
                  <a:pt x="30" y="184"/>
                </a:lnTo>
                <a:lnTo>
                  <a:pt x="15" y="19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5" name="Freeform 284">
            <a:extLst>
              <a:ext uri="{FF2B5EF4-FFF2-40B4-BE49-F238E27FC236}">
                <a16:creationId xmlns:a16="http://schemas.microsoft.com/office/drawing/2014/main" id="{00000000-0008-0000-0100-00001D010000}"/>
              </a:ext>
            </a:extLst>
          </xdr:cNvPr>
          <xdr:cNvSpPr/>
        </xdr:nvSpPr>
        <xdr:spPr>
          <a:xfrm>
            <a:off x="10835" y="10237"/>
            <a:ext cx="59" cy="29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5" y="29"/>
              </a:cxn>
              <a:cxn ang="0">
                <a:pos x="59" y="29"/>
              </a:cxn>
              <a:cxn ang="0">
                <a:pos x="59" y="0"/>
              </a:cxn>
              <a:cxn ang="0">
                <a:pos x="15" y="0"/>
              </a:cxn>
              <a:cxn ang="0">
                <a:pos x="27" y="11"/>
              </a:cxn>
              <a:cxn ang="0">
                <a:pos x="0" y="17"/>
              </a:cxn>
              <a:cxn ang="0">
                <a:pos x="3" y="29"/>
              </a:cxn>
              <a:cxn ang="0">
                <a:pos x="15" y="29"/>
              </a:cxn>
              <a:cxn ang="0">
                <a:pos x="0" y="17"/>
              </a:cxn>
            </a:cxnLst>
            <a:rect l="0" t="0" r="r" b="b"/>
            <a:pathLst>
              <a:path w="59" h="29">
                <a:moveTo>
                  <a:pt x="0" y="17"/>
                </a:moveTo>
                <a:lnTo>
                  <a:pt x="15" y="29"/>
                </a:lnTo>
                <a:lnTo>
                  <a:pt x="59" y="29"/>
                </a:lnTo>
                <a:lnTo>
                  <a:pt x="59" y="0"/>
                </a:lnTo>
                <a:lnTo>
                  <a:pt x="15" y="0"/>
                </a:lnTo>
                <a:lnTo>
                  <a:pt x="27" y="11"/>
                </a:lnTo>
                <a:lnTo>
                  <a:pt x="0" y="17"/>
                </a:lnTo>
                <a:lnTo>
                  <a:pt x="3" y="29"/>
                </a:lnTo>
                <a:lnTo>
                  <a:pt x="15" y="29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6" name="Freeform 285">
            <a:extLst>
              <a:ext uri="{FF2B5EF4-FFF2-40B4-BE49-F238E27FC236}">
                <a16:creationId xmlns:a16="http://schemas.microsoft.com/office/drawing/2014/main" id="{00000000-0008-0000-0100-00001E010000}"/>
              </a:ext>
            </a:extLst>
          </xdr:cNvPr>
          <xdr:cNvSpPr/>
        </xdr:nvSpPr>
        <xdr:spPr>
          <a:xfrm>
            <a:off x="10818" y="10061"/>
            <a:ext cx="44" cy="193"/>
          </a:xfrm>
          <a:custGeom>
            <a:avLst/>
            <a:gdLst/>
            <a:ahLst/>
            <a:cxnLst>
              <a:cxn ang="0">
                <a:pos x="26" y="90"/>
              </a:cxn>
              <a:cxn ang="0">
                <a:pos x="0" y="90"/>
              </a:cxn>
              <a:cxn ang="0">
                <a:pos x="17" y="193"/>
              </a:cxn>
              <a:cxn ang="0">
                <a:pos x="44" y="187"/>
              </a:cxn>
              <a:cxn ang="0">
                <a:pos x="26" y="84"/>
              </a:cxn>
              <a:cxn ang="0">
                <a:pos x="0" y="87"/>
              </a:cxn>
              <a:cxn ang="0">
                <a:pos x="26" y="84"/>
              </a:cxn>
              <a:cxn ang="0">
                <a:pos x="8" y="0"/>
              </a:cxn>
              <a:cxn ang="0">
                <a:pos x="0" y="87"/>
              </a:cxn>
              <a:cxn ang="0">
                <a:pos x="26" y="90"/>
              </a:cxn>
            </a:cxnLst>
            <a:rect l="0" t="0" r="r" b="b"/>
            <a:pathLst>
              <a:path w="44" h="193">
                <a:moveTo>
                  <a:pt x="26" y="90"/>
                </a:moveTo>
                <a:lnTo>
                  <a:pt x="0" y="90"/>
                </a:lnTo>
                <a:lnTo>
                  <a:pt x="17" y="193"/>
                </a:lnTo>
                <a:lnTo>
                  <a:pt x="44" y="187"/>
                </a:lnTo>
                <a:lnTo>
                  <a:pt x="26" y="84"/>
                </a:lnTo>
                <a:lnTo>
                  <a:pt x="0" y="87"/>
                </a:lnTo>
                <a:lnTo>
                  <a:pt x="26" y="84"/>
                </a:lnTo>
                <a:lnTo>
                  <a:pt x="8" y="0"/>
                </a:lnTo>
                <a:lnTo>
                  <a:pt x="0" y="87"/>
                </a:lnTo>
                <a:lnTo>
                  <a:pt x="26" y="9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7" name="Freeform 286">
            <a:extLst>
              <a:ext uri="{FF2B5EF4-FFF2-40B4-BE49-F238E27FC236}">
                <a16:creationId xmlns:a16="http://schemas.microsoft.com/office/drawing/2014/main" id="{00000000-0008-0000-0100-00001F010000}"/>
              </a:ext>
            </a:extLst>
          </xdr:cNvPr>
          <xdr:cNvSpPr/>
        </xdr:nvSpPr>
        <xdr:spPr>
          <a:xfrm>
            <a:off x="10818" y="10061"/>
            <a:ext cx="26" cy="87"/>
          </a:xfrm>
          <a:custGeom>
            <a:avLst/>
            <a:gdLst/>
            <a:ahLst/>
            <a:cxnLst>
              <a:cxn ang="0">
                <a:pos x="26" y="87"/>
              </a:cxn>
              <a:cxn ang="0">
                <a:pos x="11" y="87"/>
              </a:cxn>
              <a:cxn ang="0">
                <a:pos x="0" y="87"/>
              </a:cxn>
              <a:cxn ang="0">
                <a:pos x="26" y="84"/>
              </a:cxn>
              <a:cxn ang="0">
                <a:pos x="8" y="0"/>
              </a:cxn>
              <a:cxn ang="0">
                <a:pos x="0" y="87"/>
              </a:cxn>
              <a:cxn ang="0">
                <a:pos x="26" y="87"/>
              </a:cxn>
            </a:cxnLst>
            <a:rect l="0" t="0" r="r" b="b"/>
            <a:pathLst>
              <a:path w="26" h="87">
                <a:moveTo>
                  <a:pt x="26" y="87"/>
                </a:moveTo>
                <a:lnTo>
                  <a:pt x="11" y="87"/>
                </a:lnTo>
                <a:lnTo>
                  <a:pt x="0" y="87"/>
                </a:lnTo>
                <a:lnTo>
                  <a:pt x="26" y="84"/>
                </a:lnTo>
                <a:lnTo>
                  <a:pt x="8" y="0"/>
                </a:lnTo>
                <a:lnTo>
                  <a:pt x="0" y="87"/>
                </a:lnTo>
                <a:lnTo>
                  <a:pt x="26" y="8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8" name="Freeform 287">
            <a:extLst>
              <a:ext uri="{FF2B5EF4-FFF2-40B4-BE49-F238E27FC236}">
                <a16:creationId xmlns:a16="http://schemas.microsoft.com/office/drawing/2014/main" id="{00000000-0008-0000-0100-000020010000}"/>
              </a:ext>
            </a:extLst>
          </xdr:cNvPr>
          <xdr:cNvSpPr/>
        </xdr:nvSpPr>
        <xdr:spPr>
          <a:xfrm>
            <a:off x="10815" y="10148"/>
            <a:ext cx="29" cy="34"/>
          </a:xfrm>
          <a:custGeom>
            <a:avLst/>
            <a:gdLst/>
            <a:ahLst/>
            <a:cxnLst>
              <a:cxn ang="0">
                <a:pos x="26" y="34"/>
              </a:cxn>
              <a:cxn ang="0">
                <a:pos x="26" y="31"/>
              </a:cxn>
              <a:cxn ang="0">
                <a:pos x="26" y="28"/>
              </a:cxn>
              <a:cxn ang="0">
                <a:pos x="26" y="26"/>
              </a:cxn>
              <a:cxn ang="0">
                <a:pos x="26" y="20"/>
              </a:cxn>
              <a:cxn ang="0">
                <a:pos x="26" y="17"/>
              </a:cxn>
              <a:cxn ang="0">
                <a:pos x="26" y="14"/>
              </a:cxn>
              <a:cxn ang="0">
                <a:pos x="29" y="11"/>
              </a:cxn>
              <a:cxn ang="0">
                <a:pos x="29" y="5"/>
              </a:cxn>
              <a:cxn ang="0">
                <a:pos x="29" y="0"/>
              </a:cxn>
              <a:cxn ang="0">
                <a:pos x="0" y="0"/>
              </a:cxn>
              <a:cxn ang="0">
                <a:pos x="0" y="3"/>
              </a:cxn>
              <a:cxn ang="0">
                <a:pos x="0" y="8"/>
              </a:cxn>
              <a:cxn ang="0">
                <a:pos x="0" y="11"/>
              </a:cxn>
              <a:cxn ang="0">
                <a:pos x="0" y="17"/>
              </a:cxn>
              <a:cxn ang="0">
                <a:pos x="0" y="20"/>
              </a:cxn>
              <a:cxn ang="0">
                <a:pos x="0" y="26"/>
              </a:cxn>
              <a:cxn ang="0">
                <a:pos x="0" y="28"/>
              </a:cxn>
              <a:cxn ang="0">
                <a:pos x="0" y="31"/>
              </a:cxn>
              <a:cxn ang="0">
                <a:pos x="0" y="28"/>
              </a:cxn>
              <a:cxn ang="0">
                <a:pos x="26" y="34"/>
              </a:cxn>
            </a:cxnLst>
            <a:rect l="0" t="0" r="r" b="b"/>
            <a:pathLst>
              <a:path w="29" h="34">
                <a:moveTo>
                  <a:pt x="26" y="34"/>
                </a:moveTo>
                <a:lnTo>
                  <a:pt x="26" y="31"/>
                </a:lnTo>
                <a:lnTo>
                  <a:pt x="26" y="28"/>
                </a:lnTo>
                <a:lnTo>
                  <a:pt x="26" y="26"/>
                </a:lnTo>
                <a:lnTo>
                  <a:pt x="26" y="20"/>
                </a:lnTo>
                <a:lnTo>
                  <a:pt x="26" y="17"/>
                </a:lnTo>
                <a:lnTo>
                  <a:pt x="26" y="14"/>
                </a:lnTo>
                <a:lnTo>
                  <a:pt x="29" y="11"/>
                </a:lnTo>
                <a:lnTo>
                  <a:pt x="29" y="5"/>
                </a:lnTo>
                <a:lnTo>
                  <a:pt x="29" y="0"/>
                </a:lnTo>
                <a:lnTo>
                  <a:pt x="0" y="0"/>
                </a:lnTo>
                <a:lnTo>
                  <a:pt x="0" y="3"/>
                </a:lnTo>
                <a:lnTo>
                  <a:pt x="0" y="8"/>
                </a:lnTo>
                <a:lnTo>
                  <a:pt x="0" y="11"/>
                </a:lnTo>
                <a:lnTo>
                  <a:pt x="0" y="17"/>
                </a:lnTo>
                <a:lnTo>
                  <a:pt x="0" y="20"/>
                </a:lnTo>
                <a:lnTo>
                  <a:pt x="0" y="26"/>
                </a:lnTo>
                <a:lnTo>
                  <a:pt x="0" y="28"/>
                </a:lnTo>
                <a:lnTo>
                  <a:pt x="0" y="31"/>
                </a:lnTo>
                <a:lnTo>
                  <a:pt x="0" y="28"/>
                </a:lnTo>
                <a:lnTo>
                  <a:pt x="26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9" name="Freeform 288">
            <a:extLst>
              <a:ext uri="{FF2B5EF4-FFF2-40B4-BE49-F238E27FC236}">
                <a16:creationId xmlns:a16="http://schemas.microsoft.com/office/drawing/2014/main" id="{00000000-0008-0000-0100-000021010000}"/>
              </a:ext>
            </a:extLst>
          </xdr:cNvPr>
          <xdr:cNvSpPr/>
        </xdr:nvSpPr>
        <xdr:spPr>
          <a:xfrm>
            <a:off x="10812" y="10176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9"/>
              </a:cxn>
              <a:cxn ang="0">
                <a:pos x="26" y="24"/>
              </a:cxn>
              <a:cxn ang="0">
                <a:pos x="26" y="21"/>
              </a:cxn>
              <a:cxn ang="0">
                <a:pos x="26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6"/>
              </a:cxn>
              <a:cxn ang="0">
                <a:pos x="3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4"/>
              </a:cxn>
              <a:cxn ang="0">
                <a:pos x="0" y="24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9"/>
                </a:lnTo>
                <a:lnTo>
                  <a:pt x="26" y="24"/>
                </a:lnTo>
                <a:lnTo>
                  <a:pt x="26" y="21"/>
                </a:lnTo>
                <a:lnTo>
                  <a:pt x="26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6"/>
                </a:lnTo>
                <a:lnTo>
                  <a:pt x="3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4"/>
                </a:lnTo>
                <a:lnTo>
                  <a:pt x="0" y="24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0" name="Freeform 289">
            <a:extLst>
              <a:ext uri="{FF2B5EF4-FFF2-40B4-BE49-F238E27FC236}">
                <a16:creationId xmlns:a16="http://schemas.microsoft.com/office/drawing/2014/main" id="{00000000-0008-0000-0100-000022010000}"/>
              </a:ext>
            </a:extLst>
          </xdr:cNvPr>
          <xdr:cNvSpPr/>
        </xdr:nvSpPr>
        <xdr:spPr>
          <a:xfrm>
            <a:off x="10806" y="10200"/>
            <a:ext cx="32" cy="25"/>
          </a:xfrm>
          <a:custGeom>
            <a:avLst/>
            <a:gdLst/>
            <a:ahLst/>
            <a:cxnLst>
              <a:cxn ang="0">
                <a:pos x="29" y="25"/>
              </a:cxn>
              <a:cxn ang="0">
                <a:pos x="29" y="25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5"/>
              </a:cxn>
              <a:cxn ang="0">
                <a:pos x="32" y="5"/>
              </a:cxn>
              <a:cxn ang="0">
                <a:pos x="6" y="0"/>
              </a:cxn>
              <a:cxn ang="0">
                <a:pos x="6" y="0"/>
              </a:cxn>
              <a:cxn ang="0">
                <a:pos x="3" y="2"/>
              </a:cxn>
              <a:cxn ang="0">
                <a:pos x="3" y="5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20"/>
              </a:cxn>
              <a:cxn ang="0">
                <a:pos x="0" y="23"/>
              </a:cxn>
              <a:cxn ang="0">
                <a:pos x="29" y="25"/>
              </a:cxn>
            </a:cxnLst>
            <a:rect l="0" t="0" r="r" b="b"/>
            <a:pathLst>
              <a:path w="32" h="25">
                <a:moveTo>
                  <a:pt x="29" y="25"/>
                </a:moveTo>
                <a:lnTo>
                  <a:pt x="29" y="25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8"/>
                </a:lnTo>
                <a:lnTo>
                  <a:pt x="32" y="5"/>
                </a:lnTo>
                <a:lnTo>
                  <a:pt x="32" y="5"/>
                </a:lnTo>
                <a:lnTo>
                  <a:pt x="6" y="0"/>
                </a:lnTo>
                <a:lnTo>
                  <a:pt x="6" y="0"/>
                </a:lnTo>
                <a:lnTo>
                  <a:pt x="3" y="2"/>
                </a:lnTo>
                <a:lnTo>
                  <a:pt x="3" y="5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20"/>
                </a:lnTo>
                <a:lnTo>
                  <a:pt x="0" y="23"/>
                </a:lnTo>
                <a:lnTo>
                  <a:pt x="29" y="2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1" name="Freeform 290">
            <a:extLst>
              <a:ext uri="{FF2B5EF4-FFF2-40B4-BE49-F238E27FC236}">
                <a16:creationId xmlns:a16="http://schemas.microsoft.com/office/drawing/2014/main" id="{00000000-0008-0000-0100-000023010000}"/>
              </a:ext>
            </a:extLst>
          </xdr:cNvPr>
          <xdr:cNvSpPr/>
        </xdr:nvSpPr>
        <xdr:spPr>
          <a:xfrm>
            <a:off x="10803" y="10223"/>
            <a:ext cx="32" cy="43"/>
          </a:xfrm>
          <a:custGeom>
            <a:avLst/>
            <a:gdLst/>
            <a:ahLst/>
            <a:cxnLst>
              <a:cxn ang="0">
                <a:pos x="15" y="43"/>
              </a:cxn>
              <a:cxn ang="0">
                <a:pos x="26" y="31"/>
              </a:cxn>
              <a:cxn ang="0">
                <a:pos x="29" y="28"/>
              </a:cxn>
              <a:cxn ang="0">
                <a:pos x="29" y="25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2"/>
              </a:cxn>
              <a:cxn ang="0">
                <a:pos x="3" y="0"/>
              </a:cxn>
              <a:cxn ang="0">
                <a:pos x="3" y="2"/>
              </a:cxn>
              <a:cxn ang="0">
                <a:pos x="3" y="5"/>
              </a:cxn>
              <a:cxn ang="0">
                <a:pos x="3" y="8"/>
              </a:cxn>
              <a:cxn ang="0">
                <a:pos x="3" y="14"/>
              </a:cxn>
              <a:cxn ang="0">
                <a:pos x="3" y="17"/>
              </a:cxn>
              <a:cxn ang="0">
                <a:pos x="3" y="20"/>
              </a:cxn>
              <a:cxn ang="0">
                <a:pos x="0" y="23"/>
              </a:cxn>
              <a:cxn ang="0">
                <a:pos x="0" y="28"/>
              </a:cxn>
              <a:cxn ang="0">
                <a:pos x="15" y="14"/>
              </a:cxn>
              <a:cxn ang="0">
                <a:pos x="15" y="43"/>
              </a:cxn>
              <a:cxn ang="0">
                <a:pos x="26" y="43"/>
              </a:cxn>
              <a:cxn ang="0">
                <a:pos x="26" y="31"/>
              </a:cxn>
              <a:cxn ang="0">
                <a:pos x="15" y="43"/>
              </a:cxn>
            </a:cxnLst>
            <a:rect l="0" t="0" r="r" b="b"/>
            <a:pathLst>
              <a:path w="32" h="43">
                <a:moveTo>
                  <a:pt x="15" y="43"/>
                </a:moveTo>
                <a:lnTo>
                  <a:pt x="26" y="31"/>
                </a:lnTo>
                <a:lnTo>
                  <a:pt x="29" y="28"/>
                </a:lnTo>
                <a:lnTo>
                  <a:pt x="29" y="25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8"/>
                </a:lnTo>
                <a:lnTo>
                  <a:pt x="32" y="2"/>
                </a:lnTo>
                <a:lnTo>
                  <a:pt x="3" y="0"/>
                </a:lnTo>
                <a:lnTo>
                  <a:pt x="3" y="2"/>
                </a:lnTo>
                <a:lnTo>
                  <a:pt x="3" y="5"/>
                </a:lnTo>
                <a:lnTo>
                  <a:pt x="3" y="8"/>
                </a:lnTo>
                <a:lnTo>
                  <a:pt x="3" y="14"/>
                </a:lnTo>
                <a:lnTo>
                  <a:pt x="3" y="17"/>
                </a:lnTo>
                <a:lnTo>
                  <a:pt x="3" y="20"/>
                </a:lnTo>
                <a:lnTo>
                  <a:pt x="0" y="23"/>
                </a:lnTo>
                <a:lnTo>
                  <a:pt x="0" y="28"/>
                </a:lnTo>
                <a:lnTo>
                  <a:pt x="15" y="14"/>
                </a:lnTo>
                <a:lnTo>
                  <a:pt x="15" y="43"/>
                </a:lnTo>
                <a:lnTo>
                  <a:pt x="26" y="43"/>
                </a:lnTo>
                <a:lnTo>
                  <a:pt x="26" y="31"/>
                </a:lnTo>
                <a:lnTo>
                  <a:pt x="15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2" name="Freeform 291">
            <a:extLst>
              <a:ext uri="{FF2B5EF4-FFF2-40B4-BE49-F238E27FC236}">
                <a16:creationId xmlns:a16="http://schemas.microsoft.com/office/drawing/2014/main" id="{00000000-0008-0000-0100-000024010000}"/>
              </a:ext>
            </a:extLst>
          </xdr:cNvPr>
          <xdr:cNvSpPr/>
        </xdr:nvSpPr>
        <xdr:spPr>
          <a:xfrm>
            <a:off x="10756" y="10237"/>
            <a:ext cx="62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4" y="29"/>
              </a:cxn>
              <a:cxn ang="0">
                <a:pos x="62" y="29"/>
              </a:cxn>
              <a:cxn ang="0">
                <a:pos x="62" y="0"/>
              </a:cxn>
              <a:cxn ang="0">
                <a:pos x="14" y="0"/>
              </a:cxn>
              <a:cxn ang="0">
                <a:pos x="29" y="17"/>
              </a:cxn>
              <a:cxn ang="0">
                <a:pos x="3" y="14"/>
              </a:cxn>
              <a:cxn ang="0">
                <a:pos x="0" y="29"/>
              </a:cxn>
              <a:cxn ang="0">
                <a:pos x="14" y="29"/>
              </a:cxn>
              <a:cxn ang="0">
                <a:pos x="3" y="14"/>
              </a:cxn>
            </a:cxnLst>
            <a:rect l="0" t="0" r="r" b="b"/>
            <a:pathLst>
              <a:path w="62" h="29">
                <a:moveTo>
                  <a:pt x="3" y="14"/>
                </a:moveTo>
                <a:lnTo>
                  <a:pt x="14" y="29"/>
                </a:lnTo>
                <a:lnTo>
                  <a:pt x="62" y="29"/>
                </a:lnTo>
                <a:lnTo>
                  <a:pt x="62" y="0"/>
                </a:lnTo>
                <a:lnTo>
                  <a:pt x="14" y="0"/>
                </a:lnTo>
                <a:lnTo>
                  <a:pt x="29" y="17"/>
                </a:lnTo>
                <a:lnTo>
                  <a:pt x="3" y="14"/>
                </a:lnTo>
                <a:lnTo>
                  <a:pt x="0" y="29"/>
                </a:lnTo>
                <a:lnTo>
                  <a:pt x="14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3" name="Freeform 292">
            <a:extLst>
              <a:ext uri="{FF2B5EF4-FFF2-40B4-BE49-F238E27FC236}">
                <a16:creationId xmlns:a16="http://schemas.microsoft.com/office/drawing/2014/main" id="{00000000-0008-0000-0100-000025010000}"/>
              </a:ext>
            </a:extLst>
          </xdr:cNvPr>
          <xdr:cNvSpPr>
            <a:spLocks noEditPoints="1"/>
          </xdr:cNvSpPr>
        </xdr:nvSpPr>
        <xdr:spPr>
          <a:xfrm>
            <a:off x="10053" y="10073"/>
            <a:ext cx="138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3" y="0"/>
              </a:cxn>
              <a:cxn ang="0">
                <a:pos x="82" y="3"/>
              </a:cxn>
              <a:cxn ang="0">
                <a:pos x="91" y="3"/>
              </a:cxn>
              <a:cxn ang="0">
                <a:pos x="100" y="8"/>
              </a:cxn>
              <a:cxn ang="0">
                <a:pos x="108" y="11"/>
              </a:cxn>
              <a:cxn ang="0">
                <a:pos x="114" y="17"/>
              </a:cxn>
              <a:cxn ang="0">
                <a:pos x="120" y="23"/>
              </a:cxn>
              <a:cxn ang="0">
                <a:pos x="126" y="29"/>
              </a:cxn>
              <a:cxn ang="0">
                <a:pos x="129" y="37"/>
              </a:cxn>
              <a:cxn ang="0">
                <a:pos x="135" y="46"/>
              </a:cxn>
              <a:cxn ang="0">
                <a:pos x="135" y="55"/>
              </a:cxn>
              <a:cxn ang="0">
                <a:pos x="138" y="66"/>
              </a:cxn>
              <a:cxn ang="0">
                <a:pos x="138" y="75"/>
              </a:cxn>
              <a:cxn ang="0">
                <a:pos x="138" y="83"/>
              </a:cxn>
              <a:cxn ang="0">
                <a:pos x="135" y="89"/>
              </a:cxn>
              <a:cxn ang="0">
                <a:pos x="135" y="95"/>
              </a:cxn>
              <a:cxn ang="0">
                <a:pos x="132" y="103"/>
              </a:cxn>
              <a:cxn ang="0">
                <a:pos x="132" y="109"/>
              </a:cxn>
              <a:cxn ang="0">
                <a:pos x="129" y="115"/>
              </a:cxn>
              <a:cxn ang="0">
                <a:pos x="129" y="121"/>
              </a:cxn>
              <a:cxn ang="0">
                <a:pos x="123" y="129"/>
              </a:cxn>
              <a:cxn ang="0">
                <a:pos x="117" y="141"/>
              </a:cxn>
              <a:cxn ang="0">
                <a:pos x="111" y="152"/>
              </a:cxn>
              <a:cxn ang="0">
                <a:pos x="103" y="161"/>
              </a:cxn>
              <a:cxn ang="0">
                <a:pos x="94" y="167"/>
              </a:cxn>
              <a:cxn ang="0">
                <a:pos x="88" y="170"/>
              </a:cxn>
              <a:cxn ang="0">
                <a:pos x="82" y="173"/>
              </a:cxn>
              <a:cxn ang="0">
                <a:pos x="76" y="175"/>
              </a:cxn>
              <a:cxn ang="0">
                <a:pos x="70" y="178"/>
              </a:cxn>
              <a:cxn ang="0">
                <a:pos x="64" y="178"/>
              </a:cxn>
              <a:cxn ang="0">
                <a:pos x="55" y="181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70" y="132"/>
              </a:cxn>
              <a:cxn ang="0">
                <a:pos x="73" y="127"/>
              </a:cxn>
              <a:cxn ang="0">
                <a:pos x="79" y="121"/>
              </a:cxn>
              <a:cxn ang="0">
                <a:pos x="82" y="112"/>
              </a:cxn>
              <a:cxn ang="0">
                <a:pos x="85" y="106"/>
              </a:cxn>
              <a:cxn ang="0">
                <a:pos x="88" y="98"/>
              </a:cxn>
              <a:cxn ang="0">
                <a:pos x="88" y="92"/>
              </a:cxn>
              <a:cxn ang="0">
                <a:pos x="88" y="89"/>
              </a:cxn>
              <a:cxn ang="0">
                <a:pos x="88" y="86"/>
              </a:cxn>
              <a:cxn ang="0">
                <a:pos x="88" y="80"/>
              </a:cxn>
              <a:cxn ang="0">
                <a:pos x="88" y="78"/>
              </a:cxn>
              <a:cxn ang="0">
                <a:pos x="88" y="78"/>
              </a:cxn>
              <a:cxn ang="0">
                <a:pos x="88" y="69"/>
              </a:cxn>
              <a:cxn ang="0">
                <a:pos x="85" y="57"/>
              </a:cxn>
              <a:cxn ang="0">
                <a:pos x="82" y="49"/>
              </a:cxn>
              <a:cxn ang="0">
                <a:pos x="73" y="46"/>
              </a:cxn>
              <a:cxn ang="0">
                <a:pos x="55" y="135"/>
              </a:cxn>
            </a:cxnLst>
            <a:rect l="0" t="0" r="r" b="b"/>
            <a:pathLst>
              <a:path w="138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3" y="0"/>
                </a:lnTo>
                <a:lnTo>
                  <a:pt x="76" y="3"/>
                </a:lnTo>
                <a:lnTo>
                  <a:pt x="82" y="3"/>
                </a:lnTo>
                <a:lnTo>
                  <a:pt x="85" y="3"/>
                </a:lnTo>
                <a:lnTo>
                  <a:pt x="91" y="3"/>
                </a:lnTo>
                <a:lnTo>
                  <a:pt x="94" y="6"/>
                </a:lnTo>
                <a:lnTo>
                  <a:pt x="100" y="8"/>
                </a:lnTo>
                <a:lnTo>
                  <a:pt x="103" y="8"/>
                </a:lnTo>
                <a:lnTo>
                  <a:pt x="108" y="11"/>
                </a:lnTo>
                <a:lnTo>
                  <a:pt x="111" y="14"/>
                </a:lnTo>
                <a:lnTo>
                  <a:pt x="114" y="17"/>
                </a:lnTo>
                <a:lnTo>
                  <a:pt x="117" y="20"/>
                </a:lnTo>
                <a:lnTo>
                  <a:pt x="120" y="23"/>
                </a:lnTo>
                <a:lnTo>
                  <a:pt x="123" y="26"/>
                </a:lnTo>
                <a:lnTo>
                  <a:pt x="126" y="29"/>
                </a:lnTo>
                <a:lnTo>
                  <a:pt x="129" y="31"/>
                </a:lnTo>
                <a:lnTo>
                  <a:pt x="129" y="37"/>
                </a:lnTo>
                <a:lnTo>
                  <a:pt x="132" y="40"/>
                </a:lnTo>
                <a:lnTo>
                  <a:pt x="135" y="46"/>
                </a:lnTo>
                <a:lnTo>
                  <a:pt x="135" y="52"/>
                </a:lnTo>
                <a:lnTo>
                  <a:pt x="135" y="55"/>
                </a:lnTo>
                <a:lnTo>
                  <a:pt x="138" y="60"/>
                </a:lnTo>
                <a:lnTo>
                  <a:pt x="138" y="66"/>
                </a:lnTo>
                <a:lnTo>
                  <a:pt x="138" y="72"/>
                </a:lnTo>
                <a:lnTo>
                  <a:pt x="138" y="75"/>
                </a:lnTo>
                <a:lnTo>
                  <a:pt x="138" y="80"/>
                </a:lnTo>
                <a:lnTo>
                  <a:pt x="138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5" y="95"/>
                </a:lnTo>
                <a:lnTo>
                  <a:pt x="135" y="101"/>
                </a:lnTo>
                <a:lnTo>
                  <a:pt x="132" y="103"/>
                </a:lnTo>
                <a:lnTo>
                  <a:pt x="132" y="106"/>
                </a:lnTo>
                <a:lnTo>
                  <a:pt x="132" y="109"/>
                </a:lnTo>
                <a:lnTo>
                  <a:pt x="132" y="112"/>
                </a:lnTo>
                <a:lnTo>
                  <a:pt x="129" y="115"/>
                </a:lnTo>
                <a:lnTo>
                  <a:pt x="129" y="118"/>
                </a:lnTo>
                <a:lnTo>
                  <a:pt x="129" y="121"/>
                </a:lnTo>
                <a:lnTo>
                  <a:pt x="126" y="124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4" y="147"/>
                </a:lnTo>
                <a:lnTo>
                  <a:pt x="111" y="152"/>
                </a:lnTo>
                <a:lnTo>
                  <a:pt x="105" y="155"/>
                </a:lnTo>
                <a:lnTo>
                  <a:pt x="103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70"/>
                </a:lnTo>
                <a:lnTo>
                  <a:pt x="88" y="170"/>
                </a:lnTo>
                <a:lnTo>
                  <a:pt x="85" y="173"/>
                </a:lnTo>
                <a:lnTo>
                  <a:pt x="82" y="173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70" y="178"/>
                </a:lnTo>
                <a:lnTo>
                  <a:pt x="67" y="178"/>
                </a:lnTo>
                <a:lnTo>
                  <a:pt x="64" y="178"/>
                </a:lnTo>
                <a:lnTo>
                  <a:pt x="58" y="178"/>
                </a:lnTo>
                <a:lnTo>
                  <a:pt x="55" y="181"/>
                </a:lnTo>
                <a:lnTo>
                  <a:pt x="53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5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70" y="132"/>
                </a:lnTo>
                <a:lnTo>
                  <a:pt x="73" y="129"/>
                </a:lnTo>
                <a:lnTo>
                  <a:pt x="73" y="127"/>
                </a:lnTo>
                <a:lnTo>
                  <a:pt x="76" y="124"/>
                </a:lnTo>
                <a:lnTo>
                  <a:pt x="79" y="121"/>
                </a:lnTo>
                <a:lnTo>
                  <a:pt x="79" y="115"/>
                </a:lnTo>
                <a:lnTo>
                  <a:pt x="82" y="112"/>
                </a:lnTo>
                <a:lnTo>
                  <a:pt x="85" y="109"/>
                </a:lnTo>
                <a:lnTo>
                  <a:pt x="85" y="106"/>
                </a:lnTo>
                <a:lnTo>
                  <a:pt x="85" y="101"/>
                </a:lnTo>
                <a:lnTo>
                  <a:pt x="88" y="98"/>
                </a:lnTo>
                <a:lnTo>
                  <a:pt x="88" y="92"/>
                </a:lnTo>
                <a:lnTo>
                  <a:pt x="88" y="92"/>
                </a:lnTo>
                <a:lnTo>
                  <a:pt x="88" y="89"/>
                </a:lnTo>
                <a:lnTo>
                  <a:pt x="88" y="89"/>
                </a:lnTo>
                <a:lnTo>
                  <a:pt x="88" y="86"/>
                </a:lnTo>
                <a:lnTo>
                  <a:pt x="88" y="86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8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88" y="69"/>
                </a:lnTo>
                <a:lnTo>
                  <a:pt x="88" y="63"/>
                </a:lnTo>
                <a:lnTo>
                  <a:pt x="85" y="57"/>
                </a:lnTo>
                <a:lnTo>
                  <a:pt x="85" y="52"/>
                </a:lnTo>
                <a:lnTo>
                  <a:pt x="82" y="49"/>
                </a:lnTo>
                <a:lnTo>
                  <a:pt x="79" y="46"/>
                </a:lnTo>
                <a:lnTo>
                  <a:pt x="73" y="46"/>
                </a:lnTo>
                <a:lnTo>
                  <a:pt x="70" y="46"/>
                </a:lnTo>
                <a:lnTo>
                  <a:pt x="55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4" name="Freeform 293">
            <a:extLst>
              <a:ext uri="{FF2B5EF4-FFF2-40B4-BE49-F238E27FC236}">
                <a16:creationId xmlns:a16="http://schemas.microsoft.com/office/drawing/2014/main" id="{00000000-0008-0000-0100-000026010000}"/>
              </a:ext>
            </a:extLst>
          </xdr:cNvPr>
          <xdr:cNvSpPr/>
        </xdr:nvSpPr>
        <xdr:spPr>
          <a:xfrm>
            <a:off x="10188" y="10073"/>
            <a:ext cx="118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118" y="0"/>
              </a:cxn>
              <a:cxn ang="0">
                <a:pos x="109" y="43"/>
              </a:cxn>
              <a:cxn ang="0">
                <a:pos x="71" y="43"/>
              </a:cxn>
              <a:cxn ang="0">
                <a:pos x="65" y="66"/>
              </a:cxn>
              <a:cxn ang="0">
                <a:pos x="103" y="66"/>
              </a:cxn>
              <a:cxn ang="0">
                <a:pos x="94" y="109"/>
              </a:cxn>
              <a:cxn ang="0">
                <a:pos x="59" y="109"/>
              </a:cxn>
              <a:cxn ang="0">
                <a:pos x="56" y="135"/>
              </a:cxn>
              <a:cxn ang="0">
                <a:pos x="94" y="135"/>
              </a:cxn>
              <a:cxn ang="0">
                <a:pos x="88" y="178"/>
              </a:cxn>
              <a:cxn ang="0">
                <a:pos x="0" y="178"/>
              </a:cxn>
            </a:cxnLst>
            <a:rect l="0" t="0" r="r" b="b"/>
            <a:pathLst>
              <a:path w="118" h="178">
                <a:moveTo>
                  <a:pt x="0" y="178"/>
                </a:moveTo>
                <a:lnTo>
                  <a:pt x="29" y="0"/>
                </a:lnTo>
                <a:lnTo>
                  <a:pt x="118" y="0"/>
                </a:lnTo>
                <a:lnTo>
                  <a:pt x="109" y="43"/>
                </a:lnTo>
                <a:lnTo>
                  <a:pt x="71" y="43"/>
                </a:lnTo>
                <a:lnTo>
                  <a:pt x="65" y="66"/>
                </a:lnTo>
                <a:lnTo>
                  <a:pt x="103" y="66"/>
                </a:lnTo>
                <a:lnTo>
                  <a:pt x="94" y="109"/>
                </a:lnTo>
                <a:lnTo>
                  <a:pt x="59" y="109"/>
                </a:lnTo>
                <a:lnTo>
                  <a:pt x="56" y="135"/>
                </a:lnTo>
                <a:lnTo>
                  <a:pt x="94" y="135"/>
                </a:lnTo>
                <a:lnTo>
                  <a:pt x="88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5" name="Freeform 294">
            <a:extLst>
              <a:ext uri="{FF2B5EF4-FFF2-40B4-BE49-F238E27FC236}">
                <a16:creationId xmlns:a16="http://schemas.microsoft.com/office/drawing/2014/main" id="{00000000-0008-0000-0100-000027010000}"/>
              </a:ext>
            </a:extLst>
          </xdr:cNvPr>
          <xdr:cNvSpPr/>
        </xdr:nvSpPr>
        <xdr:spPr>
          <a:xfrm>
            <a:off x="10426" y="10073"/>
            <a:ext cx="89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30" y="0"/>
              </a:cxn>
              <a:cxn ang="0">
                <a:pos x="77" y="0"/>
              </a:cxn>
              <a:cxn ang="0">
                <a:pos x="53" y="135"/>
              </a:cxn>
              <a:cxn ang="0">
                <a:pos x="89" y="135"/>
              </a:cxn>
              <a:cxn ang="0">
                <a:pos x="83" y="178"/>
              </a:cxn>
              <a:cxn ang="0">
                <a:pos x="0" y="178"/>
              </a:cxn>
            </a:cxnLst>
            <a:rect l="0" t="0" r="r" b="b"/>
            <a:pathLst>
              <a:path w="89" h="178">
                <a:moveTo>
                  <a:pt x="0" y="178"/>
                </a:moveTo>
                <a:lnTo>
                  <a:pt x="30" y="0"/>
                </a:lnTo>
                <a:lnTo>
                  <a:pt x="77" y="0"/>
                </a:lnTo>
                <a:lnTo>
                  <a:pt x="53" y="135"/>
                </a:lnTo>
                <a:lnTo>
                  <a:pt x="89" y="135"/>
                </a:lnTo>
                <a:lnTo>
                  <a:pt x="83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6" name="Freeform 295">
            <a:extLst>
              <a:ext uri="{FF2B5EF4-FFF2-40B4-BE49-F238E27FC236}">
                <a16:creationId xmlns:a16="http://schemas.microsoft.com/office/drawing/2014/main" id="{00000000-0008-0000-0100-000028010000}"/>
              </a:ext>
            </a:extLst>
          </xdr:cNvPr>
          <xdr:cNvSpPr/>
        </xdr:nvSpPr>
        <xdr:spPr>
          <a:xfrm>
            <a:off x="10520" y="10073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30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3" y="66"/>
              </a:cxn>
              <a:cxn ang="0">
                <a:pos x="95" y="109"/>
              </a:cxn>
              <a:cxn ang="0">
                <a:pos x="59" y="109"/>
              </a:cxn>
              <a:cxn ang="0">
                <a:pos x="56" y="135"/>
              </a:cxn>
              <a:cxn ang="0">
                <a:pos x="95" y="135"/>
              </a:cxn>
              <a:cxn ang="0">
                <a:pos x="89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30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3" y="66"/>
                </a:lnTo>
                <a:lnTo>
                  <a:pt x="95" y="109"/>
                </a:lnTo>
                <a:lnTo>
                  <a:pt x="59" y="109"/>
                </a:lnTo>
                <a:lnTo>
                  <a:pt x="56" y="135"/>
                </a:lnTo>
                <a:lnTo>
                  <a:pt x="95" y="135"/>
                </a:lnTo>
                <a:lnTo>
                  <a:pt x="89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7" name="Freeform 296">
            <a:extLst>
              <a:ext uri="{FF2B5EF4-FFF2-40B4-BE49-F238E27FC236}">
                <a16:creationId xmlns:a16="http://schemas.microsoft.com/office/drawing/2014/main" id="{00000000-0008-0000-0100-000029010000}"/>
              </a:ext>
            </a:extLst>
          </xdr:cNvPr>
          <xdr:cNvSpPr>
            <a:spLocks noEditPoints="1"/>
          </xdr:cNvSpPr>
        </xdr:nvSpPr>
        <xdr:spPr>
          <a:xfrm>
            <a:off x="10635" y="10070"/>
            <a:ext cx="135" cy="187"/>
          </a:xfrm>
          <a:custGeom>
            <a:avLst/>
            <a:gdLst/>
            <a:ahLst/>
            <a:cxnLst>
              <a:cxn ang="0">
                <a:pos x="50" y="130"/>
              </a:cxn>
              <a:cxn ang="0">
                <a:pos x="59" y="141"/>
              </a:cxn>
              <a:cxn ang="0">
                <a:pos x="62" y="141"/>
              </a:cxn>
              <a:cxn ang="0">
                <a:pos x="71" y="138"/>
              </a:cxn>
              <a:cxn ang="0">
                <a:pos x="77" y="124"/>
              </a:cxn>
              <a:cxn ang="0">
                <a:pos x="85" y="106"/>
              </a:cxn>
              <a:cxn ang="0">
                <a:pos x="88" y="86"/>
              </a:cxn>
              <a:cxn ang="0">
                <a:pos x="88" y="75"/>
              </a:cxn>
              <a:cxn ang="0">
                <a:pos x="88" y="69"/>
              </a:cxn>
              <a:cxn ang="0">
                <a:pos x="88" y="55"/>
              </a:cxn>
              <a:cxn ang="0">
                <a:pos x="80" y="46"/>
              </a:cxn>
              <a:cxn ang="0">
                <a:pos x="71" y="46"/>
              </a:cxn>
              <a:cxn ang="0">
                <a:pos x="62" y="52"/>
              </a:cxn>
              <a:cxn ang="0">
                <a:pos x="59" y="63"/>
              </a:cxn>
              <a:cxn ang="0">
                <a:pos x="53" y="78"/>
              </a:cxn>
              <a:cxn ang="0">
                <a:pos x="50" y="92"/>
              </a:cxn>
              <a:cxn ang="0">
                <a:pos x="47" y="106"/>
              </a:cxn>
              <a:cxn ang="0">
                <a:pos x="0" y="104"/>
              </a:cxn>
              <a:cxn ang="0">
                <a:pos x="3" y="89"/>
              </a:cxn>
              <a:cxn ang="0">
                <a:pos x="6" y="75"/>
              </a:cxn>
              <a:cxn ang="0">
                <a:pos x="9" y="60"/>
              </a:cxn>
              <a:cxn ang="0">
                <a:pos x="18" y="43"/>
              </a:cxn>
              <a:cxn ang="0">
                <a:pos x="32" y="23"/>
              </a:cxn>
              <a:cxn ang="0">
                <a:pos x="53" y="9"/>
              </a:cxn>
              <a:cxn ang="0">
                <a:pos x="74" y="0"/>
              </a:cxn>
              <a:cxn ang="0">
                <a:pos x="94" y="0"/>
              </a:cxn>
              <a:cxn ang="0">
                <a:pos x="109" y="6"/>
              </a:cxn>
              <a:cxn ang="0">
                <a:pos x="121" y="14"/>
              </a:cxn>
              <a:cxn ang="0">
                <a:pos x="130" y="29"/>
              </a:cxn>
              <a:cxn ang="0">
                <a:pos x="135" y="43"/>
              </a:cxn>
              <a:cxn ang="0">
                <a:pos x="135" y="63"/>
              </a:cxn>
              <a:cxn ang="0">
                <a:pos x="135" y="78"/>
              </a:cxn>
              <a:cxn ang="0">
                <a:pos x="135" y="92"/>
              </a:cxn>
              <a:cxn ang="0">
                <a:pos x="133" y="104"/>
              </a:cxn>
              <a:cxn ang="0">
                <a:pos x="130" y="118"/>
              </a:cxn>
              <a:cxn ang="0">
                <a:pos x="121" y="135"/>
              </a:cxn>
              <a:cxn ang="0">
                <a:pos x="106" y="158"/>
              </a:cxn>
              <a:cxn ang="0">
                <a:pos x="88" y="176"/>
              </a:cxn>
              <a:cxn ang="0">
                <a:pos x="65" y="184"/>
              </a:cxn>
              <a:cxn ang="0">
                <a:pos x="47" y="187"/>
              </a:cxn>
              <a:cxn ang="0">
                <a:pos x="35" y="181"/>
              </a:cxn>
              <a:cxn ang="0">
                <a:pos x="24" y="178"/>
              </a:cxn>
              <a:cxn ang="0">
                <a:pos x="15" y="170"/>
              </a:cxn>
              <a:cxn ang="0">
                <a:pos x="9" y="161"/>
              </a:cxn>
              <a:cxn ang="0">
                <a:pos x="6" y="150"/>
              </a:cxn>
              <a:cxn ang="0">
                <a:pos x="3" y="135"/>
              </a:cxn>
              <a:cxn ang="0">
                <a:pos x="0" y="124"/>
              </a:cxn>
              <a:cxn ang="0">
                <a:pos x="0" y="115"/>
              </a:cxn>
              <a:cxn ang="0">
                <a:pos x="0" y="109"/>
              </a:cxn>
            </a:cxnLst>
            <a:rect l="0" t="0" r="r" b="b"/>
            <a:pathLst>
              <a:path w="135" h="187">
                <a:moveTo>
                  <a:pt x="47" y="109"/>
                </a:moveTo>
                <a:lnTo>
                  <a:pt x="47" y="118"/>
                </a:lnTo>
                <a:lnTo>
                  <a:pt x="47" y="124"/>
                </a:lnTo>
                <a:lnTo>
                  <a:pt x="50" y="130"/>
                </a:lnTo>
                <a:lnTo>
                  <a:pt x="50" y="132"/>
                </a:lnTo>
                <a:lnTo>
                  <a:pt x="53" y="135"/>
                </a:lnTo>
                <a:lnTo>
                  <a:pt x="56" y="138"/>
                </a:lnTo>
                <a:lnTo>
                  <a:pt x="59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5" y="141"/>
                </a:lnTo>
                <a:lnTo>
                  <a:pt x="68" y="138"/>
                </a:lnTo>
                <a:lnTo>
                  <a:pt x="71" y="138"/>
                </a:lnTo>
                <a:lnTo>
                  <a:pt x="71" y="135"/>
                </a:lnTo>
                <a:lnTo>
                  <a:pt x="74" y="132"/>
                </a:lnTo>
                <a:lnTo>
                  <a:pt x="77" y="130"/>
                </a:lnTo>
                <a:lnTo>
                  <a:pt x="77" y="124"/>
                </a:lnTo>
                <a:lnTo>
                  <a:pt x="80" y="121"/>
                </a:lnTo>
                <a:lnTo>
                  <a:pt x="83" y="118"/>
                </a:lnTo>
                <a:lnTo>
                  <a:pt x="83" y="112"/>
                </a:lnTo>
                <a:lnTo>
                  <a:pt x="85" y="106"/>
                </a:lnTo>
                <a:lnTo>
                  <a:pt x="85" y="101"/>
                </a:lnTo>
                <a:lnTo>
                  <a:pt x="85" y="95"/>
                </a:lnTo>
                <a:lnTo>
                  <a:pt x="85" y="92"/>
                </a:lnTo>
                <a:lnTo>
                  <a:pt x="88" y="86"/>
                </a:lnTo>
                <a:lnTo>
                  <a:pt x="88" y="81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88" y="75"/>
                </a:lnTo>
                <a:lnTo>
                  <a:pt x="88" y="72"/>
                </a:lnTo>
                <a:lnTo>
                  <a:pt x="88" y="72"/>
                </a:lnTo>
                <a:lnTo>
                  <a:pt x="88" y="69"/>
                </a:lnTo>
                <a:lnTo>
                  <a:pt x="88" y="69"/>
                </a:lnTo>
                <a:lnTo>
                  <a:pt x="88" y="63"/>
                </a:lnTo>
                <a:lnTo>
                  <a:pt x="88" y="58"/>
                </a:lnTo>
                <a:lnTo>
                  <a:pt x="88" y="55"/>
                </a:lnTo>
                <a:lnTo>
                  <a:pt x="85" y="52"/>
                </a:lnTo>
                <a:lnTo>
                  <a:pt x="83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6"/>
                </a:lnTo>
                <a:lnTo>
                  <a:pt x="71" y="46"/>
                </a:lnTo>
                <a:lnTo>
                  <a:pt x="71" y="46"/>
                </a:lnTo>
                <a:lnTo>
                  <a:pt x="68" y="49"/>
                </a:lnTo>
                <a:lnTo>
                  <a:pt x="68" y="49"/>
                </a:lnTo>
                <a:lnTo>
                  <a:pt x="65" y="52"/>
                </a:lnTo>
                <a:lnTo>
                  <a:pt x="62" y="52"/>
                </a:lnTo>
                <a:lnTo>
                  <a:pt x="62" y="55"/>
                </a:lnTo>
                <a:lnTo>
                  <a:pt x="62" y="58"/>
                </a:lnTo>
                <a:lnTo>
                  <a:pt x="59" y="60"/>
                </a:lnTo>
                <a:lnTo>
                  <a:pt x="59" y="63"/>
                </a:lnTo>
                <a:lnTo>
                  <a:pt x="56" y="66"/>
                </a:lnTo>
                <a:lnTo>
                  <a:pt x="56" y="69"/>
                </a:lnTo>
                <a:lnTo>
                  <a:pt x="53" y="72"/>
                </a:lnTo>
                <a:lnTo>
                  <a:pt x="53" y="78"/>
                </a:lnTo>
                <a:lnTo>
                  <a:pt x="53" y="81"/>
                </a:lnTo>
                <a:lnTo>
                  <a:pt x="50" y="83"/>
                </a:lnTo>
                <a:lnTo>
                  <a:pt x="50" y="89"/>
                </a:lnTo>
                <a:lnTo>
                  <a:pt x="50" y="92"/>
                </a:lnTo>
                <a:lnTo>
                  <a:pt x="50" y="95"/>
                </a:lnTo>
                <a:lnTo>
                  <a:pt x="47" y="98"/>
                </a:lnTo>
                <a:lnTo>
                  <a:pt x="47" y="104"/>
                </a:lnTo>
                <a:lnTo>
                  <a:pt x="47" y="106"/>
                </a:lnTo>
                <a:lnTo>
                  <a:pt x="47" y="109"/>
                </a:lnTo>
                <a:close/>
                <a:moveTo>
                  <a:pt x="0" y="109"/>
                </a:moveTo>
                <a:lnTo>
                  <a:pt x="0" y="106"/>
                </a:lnTo>
                <a:lnTo>
                  <a:pt x="0" y="104"/>
                </a:lnTo>
                <a:lnTo>
                  <a:pt x="3" y="98"/>
                </a:lnTo>
                <a:lnTo>
                  <a:pt x="3" y="95"/>
                </a:lnTo>
                <a:lnTo>
                  <a:pt x="3" y="92"/>
                </a:lnTo>
                <a:lnTo>
                  <a:pt x="3" y="89"/>
                </a:lnTo>
                <a:lnTo>
                  <a:pt x="3" y="83"/>
                </a:lnTo>
                <a:lnTo>
                  <a:pt x="3" y="81"/>
                </a:lnTo>
                <a:lnTo>
                  <a:pt x="6" y="78"/>
                </a:lnTo>
                <a:lnTo>
                  <a:pt x="6" y="75"/>
                </a:lnTo>
                <a:lnTo>
                  <a:pt x="6" y="69"/>
                </a:lnTo>
                <a:lnTo>
                  <a:pt x="9" y="66"/>
                </a:lnTo>
                <a:lnTo>
                  <a:pt x="9" y="63"/>
                </a:lnTo>
                <a:lnTo>
                  <a:pt x="9" y="60"/>
                </a:lnTo>
                <a:lnTo>
                  <a:pt x="12" y="58"/>
                </a:lnTo>
                <a:lnTo>
                  <a:pt x="12" y="55"/>
                </a:lnTo>
                <a:lnTo>
                  <a:pt x="15" y="49"/>
                </a:lnTo>
                <a:lnTo>
                  <a:pt x="18" y="43"/>
                </a:lnTo>
                <a:lnTo>
                  <a:pt x="24" y="37"/>
                </a:lnTo>
                <a:lnTo>
                  <a:pt x="27" y="32"/>
                </a:lnTo>
                <a:lnTo>
                  <a:pt x="30" y="26"/>
                </a:lnTo>
                <a:lnTo>
                  <a:pt x="32" y="23"/>
                </a:lnTo>
                <a:lnTo>
                  <a:pt x="38" y="17"/>
                </a:lnTo>
                <a:lnTo>
                  <a:pt x="41" y="14"/>
                </a:lnTo>
                <a:lnTo>
                  <a:pt x="47" y="11"/>
                </a:lnTo>
                <a:lnTo>
                  <a:pt x="53" y="9"/>
                </a:lnTo>
                <a:lnTo>
                  <a:pt x="56" y="6"/>
                </a:lnTo>
                <a:lnTo>
                  <a:pt x="62" y="3"/>
                </a:lnTo>
                <a:lnTo>
                  <a:pt x="68" y="0"/>
                </a:lnTo>
                <a:lnTo>
                  <a:pt x="74" y="0"/>
                </a:lnTo>
                <a:lnTo>
                  <a:pt x="80" y="0"/>
                </a:lnTo>
                <a:lnTo>
                  <a:pt x="85" y="0"/>
                </a:lnTo>
                <a:lnTo>
                  <a:pt x="88" y="0"/>
                </a:lnTo>
                <a:lnTo>
                  <a:pt x="94" y="0"/>
                </a:lnTo>
                <a:lnTo>
                  <a:pt x="97" y="0"/>
                </a:lnTo>
                <a:lnTo>
                  <a:pt x="100" y="3"/>
                </a:lnTo>
                <a:lnTo>
                  <a:pt x="106" y="3"/>
                </a:lnTo>
                <a:lnTo>
                  <a:pt x="109" y="6"/>
                </a:lnTo>
                <a:lnTo>
                  <a:pt x="112" y="6"/>
                </a:lnTo>
                <a:lnTo>
                  <a:pt x="115" y="9"/>
                </a:lnTo>
                <a:lnTo>
                  <a:pt x="118" y="11"/>
                </a:lnTo>
                <a:lnTo>
                  <a:pt x="121" y="14"/>
                </a:lnTo>
                <a:lnTo>
                  <a:pt x="124" y="17"/>
                </a:lnTo>
                <a:lnTo>
                  <a:pt x="124" y="20"/>
                </a:lnTo>
                <a:lnTo>
                  <a:pt x="127" y="23"/>
                </a:lnTo>
                <a:lnTo>
                  <a:pt x="130" y="29"/>
                </a:lnTo>
                <a:lnTo>
                  <a:pt x="130" y="32"/>
                </a:lnTo>
                <a:lnTo>
                  <a:pt x="133" y="34"/>
                </a:lnTo>
                <a:lnTo>
                  <a:pt x="133" y="40"/>
                </a:lnTo>
                <a:lnTo>
                  <a:pt x="135" y="43"/>
                </a:lnTo>
                <a:lnTo>
                  <a:pt x="135" y="49"/>
                </a:lnTo>
                <a:lnTo>
                  <a:pt x="135" y="52"/>
                </a:lnTo>
                <a:lnTo>
                  <a:pt x="135" y="58"/>
                </a:lnTo>
                <a:lnTo>
                  <a:pt x="135" y="63"/>
                </a:lnTo>
                <a:lnTo>
                  <a:pt x="135" y="66"/>
                </a:lnTo>
                <a:lnTo>
                  <a:pt x="135" y="72"/>
                </a:lnTo>
                <a:lnTo>
                  <a:pt x="135" y="75"/>
                </a:lnTo>
                <a:lnTo>
                  <a:pt x="135" y="78"/>
                </a:lnTo>
                <a:lnTo>
                  <a:pt x="135" y="81"/>
                </a:lnTo>
                <a:lnTo>
                  <a:pt x="135" y="83"/>
                </a:lnTo>
                <a:lnTo>
                  <a:pt x="135" y="89"/>
                </a:lnTo>
                <a:lnTo>
                  <a:pt x="135" y="92"/>
                </a:lnTo>
                <a:lnTo>
                  <a:pt x="135" y="95"/>
                </a:lnTo>
                <a:lnTo>
                  <a:pt x="135" y="98"/>
                </a:lnTo>
                <a:lnTo>
                  <a:pt x="135" y="101"/>
                </a:lnTo>
                <a:lnTo>
                  <a:pt x="133" y="104"/>
                </a:lnTo>
                <a:lnTo>
                  <a:pt x="133" y="106"/>
                </a:lnTo>
                <a:lnTo>
                  <a:pt x="133" y="109"/>
                </a:lnTo>
                <a:lnTo>
                  <a:pt x="130" y="115"/>
                </a:lnTo>
                <a:lnTo>
                  <a:pt x="130" y="118"/>
                </a:lnTo>
                <a:lnTo>
                  <a:pt x="130" y="121"/>
                </a:lnTo>
                <a:lnTo>
                  <a:pt x="127" y="124"/>
                </a:lnTo>
                <a:lnTo>
                  <a:pt x="124" y="130"/>
                </a:lnTo>
                <a:lnTo>
                  <a:pt x="121" y="135"/>
                </a:lnTo>
                <a:lnTo>
                  <a:pt x="118" y="144"/>
                </a:lnTo>
                <a:lnTo>
                  <a:pt x="115" y="147"/>
                </a:lnTo>
                <a:lnTo>
                  <a:pt x="112" y="153"/>
                </a:lnTo>
                <a:lnTo>
                  <a:pt x="106" y="158"/>
                </a:lnTo>
                <a:lnTo>
                  <a:pt x="103" y="164"/>
                </a:lnTo>
                <a:lnTo>
                  <a:pt x="97" y="167"/>
                </a:lnTo>
                <a:lnTo>
                  <a:pt x="94" y="173"/>
                </a:lnTo>
                <a:lnTo>
                  <a:pt x="88" y="176"/>
                </a:lnTo>
                <a:lnTo>
                  <a:pt x="83" y="178"/>
                </a:lnTo>
                <a:lnTo>
                  <a:pt x="77" y="181"/>
                </a:lnTo>
                <a:lnTo>
                  <a:pt x="71" y="184"/>
                </a:lnTo>
                <a:lnTo>
                  <a:pt x="65" y="184"/>
                </a:lnTo>
                <a:lnTo>
                  <a:pt x="59" y="187"/>
                </a:lnTo>
                <a:lnTo>
                  <a:pt x="53" y="187"/>
                </a:lnTo>
                <a:lnTo>
                  <a:pt x="50" y="187"/>
                </a:lnTo>
                <a:lnTo>
                  <a:pt x="47" y="187"/>
                </a:lnTo>
                <a:lnTo>
                  <a:pt x="44" y="184"/>
                </a:lnTo>
                <a:lnTo>
                  <a:pt x="41" y="184"/>
                </a:lnTo>
                <a:lnTo>
                  <a:pt x="38" y="184"/>
                </a:lnTo>
                <a:lnTo>
                  <a:pt x="35" y="181"/>
                </a:lnTo>
                <a:lnTo>
                  <a:pt x="32" y="181"/>
                </a:lnTo>
                <a:lnTo>
                  <a:pt x="30" y="181"/>
                </a:lnTo>
                <a:lnTo>
                  <a:pt x="27" y="178"/>
                </a:lnTo>
                <a:lnTo>
                  <a:pt x="24" y="178"/>
                </a:lnTo>
                <a:lnTo>
                  <a:pt x="24" y="176"/>
                </a:lnTo>
                <a:lnTo>
                  <a:pt x="21" y="173"/>
                </a:lnTo>
                <a:lnTo>
                  <a:pt x="18" y="173"/>
                </a:lnTo>
                <a:lnTo>
                  <a:pt x="15" y="170"/>
                </a:lnTo>
                <a:lnTo>
                  <a:pt x="15" y="167"/>
                </a:lnTo>
                <a:lnTo>
                  <a:pt x="12" y="164"/>
                </a:lnTo>
                <a:lnTo>
                  <a:pt x="12" y="164"/>
                </a:lnTo>
                <a:lnTo>
                  <a:pt x="9" y="161"/>
                </a:lnTo>
                <a:lnTo>
                  <a:pt x="9" y="158"/>
                </a:lnTo>
                <a:lnTo>
                  <a:pt x="6" y="155"/>
                </a:lnTo>
                <a:lnTo>
                  <a:pt x="6" y="153"/>
                </a:lnTo>
                <a:lnTo>
                  <a:pt x="6" y="150"/>
                </a:lnTo>
                <a:lnTo>
                  <a:pt x="3" y="147"/>
                </a:lnTo>
                <a:lnTo>
                  <a:pt x="3" y="141"/>
                </a:lnTo>
                <a:lnTo>
                  <a:pt x="3" y="138"/>
                </a:lnTo>
                <a:lnTo>
                  <a:pt x="3" y="135"/>
                </a:lnTo>
                <a:lnTo>
                  <a:pt x="0" y="132"/>
                </a:lnTo>
                <a:lnTo>
                  <a:pt x="0" y="130"/>
                </a:lnTo>
                <a:lnTo>
                  <a:pt x="0" y="127"/>
                </a:lnTo>
                <a:lnTo>
                  <a:pt x="0" y="124"/>
                </a:lnTo>
                <a:lnTo>
                  <a:pt x="0" y="118"/>
                </a:lnTo>
                <a:lnTo>
                  <a:pt x="0" y="115"/>
                </a:lnTo>
                <a:lnTo>
                  <a:pt x="0" y="115"/>
                </a:lnTo>
                <a:lnTo>
                  <a:pt x="0" y="115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09"/>
                </a:lnTo>
                <a:lnTo>
                  <a:pt x="0" y="109"/>
                </a:lnTo>
                <a:lnTo>
                  <a:pt x="0" y="109"/>
                </a:lnTo>
                <a:lnTo>
                  <a:pt x="0" y="10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8" name="Freeform 297">
            <a:extLst>
              <a:ext uri="{FF2B5EF4-FFF2-40B4-BE49-F238E27FC236}">
                <a16:creationId xmlns:a16="http://schemas.microsoft.com/office/drawing/2014/main" id="{00000000-0008-0000-0100-00002A010000}"/>
              </a:ext>
            </a:extLst>
          </xdr:cNvPr>
          <xdr:cNvSpPr/>
        </xdr:nvSpPr>
        <xdr:spPr>
          <a:xfrm>
            <a:off x="10770" y="10073"/>
            <a:ext cx="153" cy="178"/>
          </a:xfrm>
          <a:custGeom>
            <a:avLst/>
            <a:gdLst/>
            <a:ahLst/>
            <a:cxnLst>
              <a:cxn ang="0">
                <a:pos x="30" y="0"/>
              </a:cxn>
              <a:cxn ang="0">
                <a:pos x="95" y="106"/>
              </a:cxn>
              <a:cxn ang="0">
                <a:pos x="95" y="98"/>
              </a:cxn>
              <a:cxn ang="0">
                <a:pos x="98" y="86"/>
              </a:cxn>
              <a:cxn ang="0">
                <a:pos x="98" y="78"/>
              </a:cxn>
              <a:cxn ang="0">
                <a:pos x="98" y="69"/>
              </a:cxn>
              <a:cxn ang="0">
                <a:pos x="98" y="63"/>
              </a:cxn>
              <a:cxn ang="0">
                <a:pos x="98" y="57"/>
              </a:cxn>
              <a:cxn ang="0">
                <a:pos x="101" y="52"/>
              </a:cxn>
              <a:cxn ang="0">
                <a:pos x="101" y="49"/>
              </a:cxn>
              <a:cxn ang="0">
                <a:pos x="101" y="43"/>
              </a:cxn>
              <a:cxn ang="0">
                <a:pos x="101" y="37"/>
              </a:cxn>
              <a:cxn ang="0">
                <a:pos x="103" y="31"/>
              </a:cxn>
              <a:cxn ang="0">
                <a:pos x="103" y="26"/>
              </a:cxn>
              <a:cxn ang="0">
                <a:pos x="106" y="17"/>
              </a:cxn>
              <a:cxn ang="0">
                <a:pos x="106" y="11"/>
              </a:cxn>
              <a:cxn ang="0">
                <a:pos x="106" y="6"/>
              </a:cxn>
              <a:cxn ang="0">
                <a:pos x="106" y="0"/>
              </a:cxn>
              <a:cxn ang="0">
                <a:pos x="124" y="178"/>
              </a:cxn>
              <a:cxn ang="0">
                <a:pos x="59" y="75"/>
              </a:cxn>
              <a:cxn ang="0">
                <a:pos x="59" y="83"/>
              </a:cxn>
              <a:cxn ang="0">
                <a:pos x="59" y="92"/>
              </a:cxn>
              <a:cxn ang="0">
                <a:pos x="56" y="101"/>
              </a:cxn>
              <a:cxn ang="0">
                <a:pos x="56" y="106"/>
              </a:cxn>
              <a:cxn ang="0">
                <a:pos x="56" y="112"/>
              </a:cxn>
              <a:cxn ang="0">
                <a:pos x="56" y="118"/>
              </a:cxn>
              <a:cxn ang="0">
                <a:pos x="56" y="124"/>
              </a:cxn>
              <a:cxn ang="0">
                <a:pos x="53" y="129"/>
              </a:cxn>
              <a:cxn ang="0">
                <a:pos x="53" y="132"/>
              </a:cxn>
              <a:cxn ang="0">
                <a:pos x="53" y="138"/>
              </a:cxn>
              <a:cxn ang="0">
                <a:pos x="50" y="144"/>
              </a:cxn>
              <a:cxn ang="0">
                <a:pos x="50" y="152"/>
              </a:cxn>
              <a:cxn ang="0">
                <a:pos x="50" y="158"/>
              </a:cxn>
              <a:cxn ang="0">
                <a:pos x="50" y="167"/>
              </a:cxn>
              <a:cxn ang="0">
                <a:pos x="48" y="173"/>
              </a:cxn>
              <a:cxn ang="0">
                <a:pos x="48" y="178"/>
              </a:cxn>
            </a:cxnLst>
            <a:rect l="0" t="0" r="r" b="b"/>
            <a:pathLst>
              <a:path w="153" h="178">
                <a:moveTo>
                  <a:pt x="0" y="178"/>
                </a:moveTo>
                <a:lnTo>
                  <a:pt x="30" y="0"/>
                </a:lnTo>
                <a:lnTo>
                  <a:pt x="74" y="0"/>
                </a:lnTo>
                <a:lnTo>
                  <a:pt x="95" y="106"/>
                </a:lnTo>
                <a:lnTo>
                  <a:pt x="95" y="101"/>
                </a:lnTo>
                <a:lnTo>
                  <a:pt x="95" y="98"/>
                </a:lnTo>
                <a:lnTo>
                  <a:pt x="98" y="92"/>
                </a:lnTo>
                <a:lnTo>
                  <a:pt x="98" y="86"/>
                </a:lnTo>
                <a:lnTo>
                  <a:pt x="98" y="83"/>
                </a:lnTo>
                <a:lnTo>
                  <a:pt x="98" y="78"/>
                </a:lnTo>
                <a:lnTo>
                  <a:pt x="98" y="75"/>
                </a:lnTo>
                <a:lnTo>
                  <a:pt x="98" y="69"/>
                </a:lnTo>
                <a:lnTo>
                  <a:pt x="98" y="66"/>
                </a:lnTo>
                <a:lnTo>
                  <a:pt x="98" y="63"/>
                </a:lnTo>
                <a:lnTo>
                  <a:pt x="98" y="60"/>
                </a:lnTo>
                <a:lnTo>
                  <a:pt x="98" y="57"/>
                </a:lnTo>
                <a:lnTo>
                  <a:pt x="98" y="55"/>
                </a:lnTo>
                <a:lnTo>
                  <a:pt x="101" y="52"/>
                </a:lnTo>
                <a:lnTo>
                  <a:pt x="101" y="49"/>
                </a:lnTo>
                <a:lnTo>
                  <a:pt x="101" y="49"/>
                </a:lnTo>
                <a:lnTo>
                  <a:pt x="101" y="46"/>
                </a:lnTo>
                <a:lnTo>
                  <a:pt x="101" y="43"/>
                </a:lnTo>
                <a:lnTo>
                  <a:pt x="101" y="40"/>
                </a:lnTo>
                <a:lnTo>
                  <a:pt x="101" y="37"/>
                </a:lnTo>
                <a:lnTo>
                  <a:pt x="103" y="34"/>
                </a:lnTo>
                <a:lnTo>
                  <a:pt x="103" y="31"/>
                </a:lnTo>
                <a:lnTo>
                  <a:pt x="103" y="29"/>
                </a:lnTo>
                <a:lnTo>
                  <a:pt x="103" y="26"/>
                </a:lnTo>
                <a:lnTo>
                  <a:pt x="103" y="20"/>
                </a:lnTo>
                <a:lnTo>
                  <a:pt x="106" y="17"/>
                </a:lnTo>
                <a:lnTo>
                  <a:pt x="106" y="14"/>
                </a:lnTo>
                <a:lnTo>
                  <a:pt x="106" y="11"/>
                </a:lnTo>
                <a:lnTo>
                  <a:pt x="106" y="8"/>
                </a:lnTo>
                <a:lnTo>
                  <a:pt x="106" y="6"/>
                </a:lnTo>
                <a:lnTo>
                  <a:pt x="106" y="3"/>
                </a:lnTo>
                <a:lnTo>
                  <a:pt x="106" y="0"/>
                </a:lnTo>
                <a:lnTo>
                  <a:pt x="153" y="0"/>
                </a:lnTo>
                <a:lnTo>
                  <a:pt x="124" y="178"/>
                </a:lnTo>
                <a:lnTo>
                  <a:pt x="80" y="178"/>
                </a:lnTo>
                <a:lnTo>
                  <a:pt x="59" y="75"/>
                </a:lnTo>
                <a:lnTo>
                  <a:pt x="59" y="80"/>
                </a:lnTo>
                <a:lnTo>
                  <a:pt x="59" y="83"/>
                </a:lnTo>
                <a:lnTo>
                  <a:pt x="59" y="89"/>
                </a:lnTo>
                <a:lnTo>
                  <a:pt x="59" y="92"/>
                </a:lnTo>
                <a:lnTo>
                  <a:pt x="56" y="95"/>
                </a:lnTo>
                <a:lnTo>
                  <a:pt x="56" y="101"/>
                </a:lnTo>
                <a:lnTo>
                  <a:pt x="56" y="103"/>
                </a:lnTo>
                <a:lnTo>
                  <a:pt x="56" y="106"/>
                </a:lnTo>
                <a:lnTo>
                  <a:pt x="56" y="109"/>
                </a:lnTo>
                <a:lnTo>
                  <a:pt x="56" y="112"/>
                </a:lnTo>
                <a:lnTo>
                  <a:pt x="56" y="115"/>
                </a:lnTo>
                <a:lnTo>
                  <a:pt x="56" y="118"/>
                </a:lnTo>
                <a:lnTo>
                  <a:pt x="56" y="121"/>
                </a:lnTo>
                <a:lnTo>
                  <a:pt x="56" y="124"/>
                </a:lnTo>
                <a:lnTo>
                  <a:pt x="56" y="127"/>
                </a:lnTo>
                <a:lnTo>
                  <a:pt x="53" y="129"/>
                </a:lnTo>
                <a:lnTo>
                  <a:pt x="53" y="129"/>
                </a:lnTo>
                <a:lnTo>
                  <a:pt x="53" y="132"/>
                </a:lnTo>
                <a:lnTo>
                  <a:pt x="53" y="135"/>
                </a:lnTo>
                <a:lnTo>
                  <a:pt x="53" y="138"/>
                </a:lnTo>
                <a:lnTo>
                  <a:pt x="53" y="141"/>
                </a:lnTo>
                <a:lnTo>
                  <a:pt x="50" y="144"/>
                </a:lnTo>
                <a:lnTo>
                  <a:pt x="50" y="150"/>
                </a:lnTo>
                <a:lnTo>
                  <a:pt x="50" y="152"/>
                </a:lnTo>
                <a:lnTo>
                  <a:pt x="50" y="155"/>
                </a:lnTo>
                <a:lnTo>
                  <a:pt x="50" y="158"/>
                </a:lnTo>
                <a:lnTo>
                  <a:pt x="50" y="161"/>
                </a:lnTo>
                <a:lnTo>
                  <a:pt x="50" y="167"/>
                </a:lnTo>
                <a:lnTo>
                  <a:pt x="48" y="170"/>
                </a:lnTo>
                <a:lnTo>
                  <a:pt x="48" y="173"/>
                </a:lnTo>
                <a:lnTo>
                  <a:pt x="48" y="175"/>
                </a:lnTo>
                <a:lnTo>
                  <a:pt x="48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2"/>
  <sheetViews>
    <sheetView view="pageBreakPreview" topLeftCell="A91" zoomScale="60" zoomScaleNormal="40" zoomScalePageLayoutView="32" workbookViewId="0">
      <selection activeCell="F107" sqref="F107"/>
    </sheetView>
  </sheetViews>
  <sheetFormatPr baseColWidth="10" defaultColWidth="12.5703125" defaultRowHeight="15"/>
  <cols>
    <col min="1" max="1" width="9.7109375" style="157" customWidth="1"/>
    <col min="2" max="2" width="22.85546875" style="157" customWidth="1"/>
    <col min="3" max="3" width="17" style="157" customWidth="1"/>
    <col min="4" max="4" width="9.5703125" style="157" customWidth="1"/>
    <col min="5" max="6" width="20.7109375" style="157" customWidth="1"/>
    <col min="7" max="9" width="20.7109375" style="158" customWidth="1"/>
    <col min="10" max="10" width="20.5703125" style="158" customWidth="1"/>
    <col min="11" max="11" width="12.5703125" style="158"/>
    <col min="12" max="12" width="12.85546875" style="158"/>
    <col min="13" max="16384" width="12.5703125" style="158"/>
  </cols>
  <sheetData>
    <row r="1" spans="1:13" ht="24.95" customHeight="1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7"/>
      <c r="K1" s="193"/>
      <c r="L1"/>
    </row>
    <row r="2" spans="1:13" ht="24.95" customHeight="1">
      <c r="A2" s="391" t="s">
        <v>1</v>
      </c>
      <c r="B2" s="392"/>
      <c r="C2" s="392"/>
      <c r="D2" s="392"/>
      <c r="E2" s="392"/>
      <c r="F2" s="392"/>
      <c r="G2" s="392"/>
      <c r="H2" s="392"/>
      <c r="I2" s="392"/>
      <c r="J2" s="393"/>
      <c r="K2" s="193"/>
    </row>
    <row r="3" spans="1:13" ht="24.95" customHeight="1">
      <c r="A3" s="394" t="s">
        <v>2</v>
      </c>
      <c r="B3" s="395"/>
      <c r="C3" s="395"/>
      <c r="D3" s="396">
        <f>FECHAS!D8</f>
        <v>46083</v>
      </c>
      <c r="E3" s="396"/>
      <c r="F3" s="396"/>
      <c r="G3" s="395" t="str">
        <f>FECHAS!G8</f>
        <v xml:space="preserve">SEM 9 LIC </v>
      </c>
      <c r="H3" s="395"/>
      <c r="I3" s="395"/>
      <c r="J3" s="397"/>
      <c r="K3" s="193"/>
    </row>
    <row r="4" spans="1:13" ht="24.95" customHeight="1" thickTop="1" thickBot="1">
      <c r="A4" s="159" t="str">
        <f>'concentrado nocturno'!A4:A5</f>
        <v>Aula</v>
      </c>
      <c r="B4" s="160" t="str">
        <f>'concentrado nocturno'!B4:B5</f>
        <v>Gpo.</v>
      </c>
      <c r="C4" s="160" t="str">
        <f>'concentrado nocturno'!C4:C5</f>
        <v>Licenciatura</v>
      </c>
      <c r="D4" s="161" t="s">
        <v>3</v>
      </c>
      <c r="E4" s="162" t="s">
        <v>4</v>
      </c>
      <c r="F4" s="161" t="s">
        <v>5</v>
      </c>
      <c r="G4" s="161" t="s">
        <v>6</v>
      </c>
      <c r="H4" s="161" t="s">
        <v>7</v>
      </c>
      <c r="I4" s="194" t="s">
        <v>8</v>
      </c>
      <c r="J4" s="194" t="s">
        <v>9</v>
      </c>
      <c r="K4" s="193"/>
    </row>
    <row r="5" spans="1:13" ht="39.950000000000003" customHeight="1" thickTop="1" thickBot="1">
      <c r="A5" s="163" t="str">
        <f>'concentrado nocturno'!A6</f>
        <v>CC1</v>
      </c>
      <c r="B5" s="163">
        <f>'concentrado nocturno'!B6</f>
        <v>0</v>
      </c>
      <c r="C5" s="163">
        <f>'concentrado nocturno'!C6</f>
        <v>0</v>
      </c>
      <c r="D5" s="163">
        <f>'concentrado nocturno'!D6</f>
        <v>0</v>
      </c>
      <c r="E5" s="163">
        <f>'concentrado nocturno'!E6</f>
        <v>390</v>
      </c>
      <c r="F5" s="163">
        <f>'concentrado nocturno'!F6</f>
        <v>390</v>
      </c>
      <c r="G5" s="163">
        <f>'concentrado nocturno'!G6</f>
        <v>2387</v>
      </c>
      <c r="H5" s="163">
        <f>'concentrado nocturno'!H6</f>
        <v>2387</v>
      </c>
      <c r="I5" s="163">
        <f>'concentrado nocturno'!I6</f>
        <v>0</v>
      </c>
      <c r="J5" s="195">
        <f>'concentrado nocturno'!J6</f>
        <v>0</v>
      </c>
      <c r="K5" s="193"/>
    </row>
    <row r="6" spans="1:13" ht="39.950000000000003" customHeight="1" thickTop="1" thickBot="1">
      <c r="A6" s="166" t="str">
        <f>'concentrado nocturno'!A7</f>
        <v>CC2</v>
      </c>
      <c r="B6" s="166">
        <f>'concentrado nocturno'!B7</f>
        <v>0</v>
      </c>
      <c r="C6" s="166">
        <f>'concentrado nocturno'!C7</f>
        <v>0</v>
      </c>
      <c r="D6" s="166">
        <f>'concentrado nocturno'!D7</f>
        <v>0</v>
      </c>
      <c r="E6" s="166">
        <f>'concentrado nocturno'!E7</f>
        <v>0</v>
      </c>
      <c r="F6" s="166">
        <f>'concentrado nocturno'!F7</f>
        <v>0</v>
      </c>
      <c r="G6" s="166" t="str">
        <f>'concentrado nocturno'!G7</f>
        <v>A161</v>
      </c>
      <c r="H6" s="166" t="str">
        <f>'concentrado nocturno'!H7</f>
        <v>A161</v>
      </c>
      <c r="I6" s="166">
        <f>'concentrado nocturno'!I7</f>
        <v>634</v>
      </c>
      <c r="J6" s="196">
        <f>'concentrado nocturno'!J7</f>
        <v>0</v>
      </c>
      <c r="K6" s="193"/>
    </row>
    <row r="7" spans="1:13" ht="39.950000000000003" customHeight="1" thickTop="1" thickBot="1">
      <c r="A7" s="166" t="str">
        <f>'concentrado nocturno'!A8</f>
        <v>CC3</v>
      </c>
      <c r="B7" s="166">
        <f>'concentrado nocturno'!B8</f>
        <v>0</v>
      </c>
      <c r="C7" s="166">
        <f>'concentrado nocturno'!C8</f>
        <v>0</v>
      </c>
      <c r="D7" s="166">
        <f>'concentrado nocturno'!D8</f>
        <v>0</v>
      </c>
      <c r="E7" s="166">
        <f>'concentrado nocturno'!E8</f>
        <v>1228</v>
      </c>
      <c r="F7" s="166">
        <f>'concentrado nocturno'!F8</f>
        <v>1228</v>
      </c>
      <c r="G7" s="166">
        <f>'concentrado nocturno'!G8</f>
        <v>335</v>
      </c>
      <c r="H7" s="166">
        <f>'concentrado nocturno'!H8</f>
        <v>335</v>
      </c>
      <c r="I7" s="166">
        <f>'concentrado nocturno'!I8</f>
        <v>335</v>
      </c>
      <c r="J7" s="196">
        <f>'concentrado nocturno'!J8</f>
        <v>0</v>
      </c>
      <c r="K7" s="193"/>
    </row>
    <row r="8" spans="1:13" ht="39.950000000000003" customHeight="1" thickTop="1" thickBot="1">
      <c r="A8" s="166" t="str">
        <f>'concentrado nocturno'!A9</f>
        <v>CC4</v>
      </c>
      <c r="B8" s="166">
        <f>'concentrado nocturno'!B9</f>
        <v>0</v>
      </c>
      <c r="C8" s="166">
        <f>'concentrado nocturno'!C9</f>
        <v>0</v>
      </c>
      <c r="D8" s="166">
        <f>'concentrado nocturno'!D9</f>
        <v>0</v>
      </c>
      <c r="E8" s="166">
        <f>'concentrado nocturno'!E9</f>
        <v>0</v>
      </c>
      <c r="F8" s="166">
        <f>'concentrado nocturno'!F9</f>
        <v>0</v>
      </c>
      <c r="G8" s="166">
        <f>'concentrado nocturno'!G9</f>
        <v>436</v>
      </c>
      <c r="H8" s="166">
        <f>'concentrado nocturno'!H9</f>
        <v>0</v>
      </c>
      <c r="I8" s="166" t="str">
        <f>'concentrado nocturno'!I9</f>
        <v>A99</v>
      </c>
      <c r="J8" s="196">
        <f>'concentrado nocturno'!J9</f>
        <v>0</v>
      </c>
      <c r="K8" s="193"/>
      <c r="M8" s="197"/>
    </row>
    <row r="9" spans="1:13" ht="39.950000000000003" customHeight="1" thickTop="1" thickBot="1">
      <c r="A9" s="170" t="str">
        <f>'concentrado nocturno'!A10</f>
        <v>CC5</v>
      </c>
      <c r="B9" s="170">
        <f>'concentrado nocturno'!B10</f>
        <v>0</v>
      </c>
      <c r="C9" s="170">
        <f>'concentrado nocturno'!C10</f>
        <v>0</v>
      </c>
      <c r="D9" s="170">
        <f>'concentrado nocturno'!D10</f>
        <v>0</v>
      </c>
      <c r="E9" s="170">
        <f>'concentrado nocturno'!E10</f>
        <v>0</v>
      </c>
      <c r="F9" s="170">
        <f>'concentrado nocturno'!F10</f>
        <v>1035</v>
      </c>
      <c r="G9" s="170">
        <f>'concentrado nocturno'!G10</f>
        <v>1228</v>
      </c>
      <c r="H9" s="170">
        <f>'concentrado nocturno'!H10</f>
        <v>1228</v>
      </c>
      <c r="I9" s="170">
        <f>'concentrado nocturno'!I10</f>
        <v>1836</v>
      </c>
      <c r="J9" s="198">
        <f>'concentrado nocturno'!J10</f>
        <v>0</v>
      </c>
      <c r="K9" s="193"/>
    </row>
    <row r="10" spans="1:13" ht="39.950000000000003" customHeight="1" thickTop="1" thickBot="1">
      <c r="A10" s="173">
        <f>'concentrado nocturno'!A11</f>
        <v>1</v>
      </c>
      <c r="B10" s="174" t="str">
        <f>'concentrado nocturno'!B11</f>
        <v>421-13/521-14</v>
      </c>
      <c r="C10" s="174" t="str">
        <f>'concentrado nocturno'!C11</f>
        <v>Psicologia</v>
      </c>
      <c r="D10" s="175" t="str">
        <f>'concentrado nocturno'!D11</f>
        <v>11DV, 8AN, 5BN</v>
      </c>
      <c r="E10" s="176">
        <f>'concentrado nocturno'!E11</f>
        <v>0</v>
      </c>
      <c r="F10" s="177">
        <f>'concentrado nocturno'!F11</f>
        <v>2396</v>
      </c>
      <c r="G10" s="177">
        <f>'concentrado nocturno'!G11</f>
        <v>2396</v>
      </c>
      <c r="H10" s="177">
        <f>'concentrado nocturno'!H11</f>
        <v>1246</v>
      </c>
      <c r="I10" s="177">
        <f>'concentrado nocturno'!I11</f>
        <v>0</v>
      </c>
      <c r="J10" s="199">
        <f>'concentrado nocturno'!J11</f>
        <v>0</v>
      </c>
      <c r="K10" s="193"/>
    </row>
    <row r="11" spans="1:13" ht="39.950000000000003" customHeight="1">
      <c r="A11" s="166">
        <f>'concentrado nocturno'!A12</f>
        <v>2</v>
      </c>
      <c r="B11" s="167" t="str">
        <f>'concentrado nocturno'!B12</f>
        <v>721-8-821-9</v>
      </c>
      <c r="C11" s="167" t="str">
        <f>'concentrado nocturno'!C12</f>
        <v>Psicologia</v>
      </c>
      <c r="D11" s="168">
        <f>'concentrado nocturno'!D12</f>
        <v>0</v>
      </c>
      <c r="E11" s="178">
        <f>'concentrado nocturno'!E12</f>
        <v>2325</v>
      </c>
      <c r="F11" s="179">
        <f>'concentrado nocturno'!F12</f>
        <v>1456</v>
      </c>
      <c r="G11" s="179" t="str">
        <f>'concentrado nocturno'!G12</f>
        <v>A121</v>
      </c>
      <c r="H11" s="179">
        <f>'concentrado nocturno'!H12</f>
        <v>2206</v>
      </c>
      <c r="I11" s="179" t="str">
        <f>'concentrado nocturno'!I12</f>
        <v>634 CC</v>
      </c>
      <c r="J11" s="200">
        <f>'concentrado nocturno'!J12</f>
        <v>0</v>
      </c>
      <c r="K11" s="193"/>
    </row>
    <row r="12" spans="1:13" ht="39.950000000000003" customHeight="1">
      <c r="A12" s="166">
        <f>'concentrado nocturno'!A13</f>
        <v>2</v>
      </c>
      <c r="B12" s="167" t="str">
        <f>'concentrado nocturno'!B13</f>
        <v>421-13/521-14</v>
      </c>
      <c r="C12" s="167" t="str">
        <f>'concentrado nocturno'!C13</f>
        <v>Compu</v>
      </c>
      <c r="D12" s="168">
        <f>'concentrado nocturno'!D13</f>
        <v>0</v>
      </c>
      <c r="E12" s="178" t="str">
        <f>'concentrado nocturno'!E13</f>
        <v>390 CC</v>
      </c>
      <c r="F12" s="179" t="str">
        <f>'concentrado nocturno'!F13</f>
        <v>390 CC</v>
      </c>
      <c r="G12" s="179" t="str">
        <f>'concentrado nocturno'!G13</f>
        <v>436 CC</v>
      </c>
      <c r="H12" s="179">
        <f>'concentrado nocturno'!H13</f>
        <v>0</v>
      </c>
      <c r="I12" s="179">
        <f>'concentrado nocturno'!I13</f>
        <v>0</v>
      </c>
      <c r="J12" s="200">
        <f>'concentrado nocturno'!J13</f>
        <v>0</v>
      </c>
      <c r="K12" s="193"/>
    </row>
    <row r="13" spans="1:13" ht="39.950000000000003" customHeight="1">
      <c r="A13" s="166">
        <f>'concentrado nocturno'!A14</f>
        <v>3</v>
      </c>
      <c r="B13" s="167" t="str">
        <f>'concentrado nocturno'!B14</f>
        <v>221-14</v>
      </c>
      <c r="C13" s="167" t="str">
        <f>'concentrado nocturno'!C14</f>
        <v>Psicologia</v>
      </c>
      <c r="D13" s="168" t="str">
        <f>'concentrado nocturno'!D14</f>
        <v>8CN</v>
      </c>
      <c r="E13" s="178" t="str">
        <f>'concentrado nocturno'!E14</f>
        <v>A114</v>
      </c>
      <c r="F13" s="179" t="str">
        <f>'concentrado nocturno'!F14</f>
        <v>A114</v>
      </c>
      <c r="G13" s="179" t="str">
        <f>'concentrado nocturno'!G14</f>
        <v>A158</v>
      </c>
      <c r="H13" s="179">
        <f>'concentrado nocturno'!H14</f>
        <v>0</v>
      </c>
      <c r="I13" s="179">
        <f>'concentrado nocturno'!I14</f>
        <v>0</v>
      </c>
      <c r="J13" s="200">
        <f>'concentrado nocturno'!J14</f>
        <v>0</v>
      </c>
      <c r="K13" s="193"/>
    </row>
    <row r="14" spans="1:13" ht="39.950000000000003" customHeight="1">
      <c r="A14" s="166">
        <f>'concentrado nocturno'!A15</f>
        <v>3</v>
      </c>
      <c r="B14" s="167" t="str">
        <f>'concentrado nocturno'!B15</f>
        <v>1031-13/1131-14</v>
      </c>
      <c r="C14" s="167" t="str">
        <f>'concentrado nocturno'!C15</f>
        <v>Psicologia</v>
      </c>
      <c r="D14" s="168">
        <f>'concentrado nocturno'!D15</f>
        <v>0</v>
      </c>
      <c r="E14" s="178">
        <f>'concentrado nocturno'!E15</f>
        <v>0</v>
      </c>
      <c r="F14" s="179">
        <f>'concentrado nocturno'!F15</f>
        <v>0</v>
      </c>
      <c r="G14" s="179">
        <f>'concentrado nocturno'!G15</f>
        <v>0</v>
      </c>
      <c r="H14" s="179">
        <f>'concentrado nocturno'!H15</f>
        <v>2396</v>
      </c>
      <c r="I14" s="179">
        <f>'concentrado nocturno'!I15</f>
        <v>2326</v>
      </c>
      <c r="J14" s="200">
        <f>'concentrado nocturno'!J15</f>
        <v>2326</v>
      </c>
      <c r="K14" s="193"/>
    </row>
    <row r="15" spans="1:13" ht="39.950000000000003" customHeight="1">
      <c r="A15" s="166">
        <f>'concentrado nocturno'!A16</f>
        <v>4</v>
      </c>
      <c r="B15" s="167" t="str">
        <f>'concentrado nocturno'!B16</f>
        <v>531-14</v>
      </c>
      <c r="C15" s="167" t="str">
        <f>'concentrado nocturno'!C16</f>
        <v>FINANZAS</v>
      </c>
      <c r="D15" s="168">
        <f>'concentrado nocturno'!D16</f>
        <v>0</v>
      </c>
      <c r="E15" s="178" t="str">
        <f>'concentrado nocturno'!E16</f>
        <v>S 003</v>
      </c>
      <c r="F15" s="179" t="str">
        <f>'concentrado nocturno'!F16</f>
        <v>S 003</v>
      </c>
      <c r="G15" s="179" t="str">
        <f>'concentrado nocturno'!G16</f>
        <v>S 003</v>
      </c>
      <c r="H15" s="179">
        <f>'concentrado nocturno'!H16</f>
        <v>2543</v>
      </c>
      <c r="I15" s="179" t="str">
        <f>'concentrado nocturno'!I16</f>
        <v>A97</v>
      </c>
      <c r="J15" s="200">
        <f>'concentrado nocturno'!J16</f>
        <v>1836</v>
      </c>
      <c r="K15" s="193"/>
    </row>
    <row r="16" spans="1:13" ht="39.950000000000003" customHeight="1">
      <c r="A16" s="166">
        <f>'concentrado nocturno'!A17</f>
        <v>4</v>
      </c>
      <c r="B16" s="167" t="str">
        <f>'concentrado nocturno'!B17</f>
        <v>821-14</v>
      </c>
      <c r="C16" s="167" t="str">
        <f>'concentrado nocturno'!C17</f>
        <v>Psicologia</v>
      </c>
      <c r="D16" s="168">
        <f>'concentrado nocturno'!D17</f>
        <v>0</v>
      </c>
      <c r="E16" s="178">
        <f>'concentrado nocturno'!E17</f>
        <v>1303</v>
      </c>
      <c r="F16" s="179">
        <f>'concentrado nocturno'!F17</f>
        <v>1303</v>
      </c>
      <c r="G16" s="179" t="str">
        <f>'concentrado nocturno'!G17</f>
        <v>S 103</v>
      </c>
      <c r="H16" s="179">
        <f>'concentrado nocturno'!H17</f>
        <v>0</v>
      </c>
      <c r="I16" s="179">
        <f>'concentrado nocturno'!I17</f>
        <v>0</v>
      </c>
      <c r="J16" s="200">
        <f>'concentrado nocturno'!J17</f>
        <v>0</v>
      </c>
      <c r="K16" s="193"/>
    </row>
    <row r="17" spans="1:11" ht="39.950000000000003" customHeight="1">
      <c r="A17" s="166">
        <f>'concentrado nocturno'!A18</f>
        <v>5</v>
      </c>
      <c r="B17" s="167" t="str">
        <f>'concentrado nocturno'!B18</f>
        <v>721-8/821-9</v>
      </c>
      <c r="C17" s="167" t="str">
        <f>'concentrado nocturno'!C18</f>
        <v>Civil</v>
      </c>
      <c r="D17" s="168" t="str">
        <f>'concentrado nocturno'!D18</f>
        <v>2BV</v>
      </c>
      <c r="E17" s="178" t="str">
        <f>'concentrado nocturno'!E18</f>
        <v>A145</v>
      </c>
      <c r="F17" s="179" t="str">
        <f>'concentrado nocturno'!F18</f>
        <v>A145</v>
      </c>
      <c r="G17" s="179">
        <f>'concentrado nocturno'!G18</f>
        <v>2306</v>
      </c>
      <c r="H17" s="179" t="str">
        <f>'concentrado nocturno'!H18</f>
        <v>GEVA</v>
      </c>
      <c r="I17" s="179" t="str">
        <f>'concentrado nocturno'!I18</f>
        <v>GEVA</v>
      </c>
      <c r="J17" s="200">
        <f>'concentrado nocturno'!J18</f>
        <v>2401</v>
      </c>
      <c r="K17" s="193"/>
    </row>
    <row r="18" spans="1:11" ht="39.950000000000003" customHeight="1">
      <c r="A18" s="166">
        <f>'concentrado nocturno'!A19</f>
        <v>7</v>
      </c>
      <c r="B18" s="167" t="str">
        <f>'concentrado nocturno'!B19</f>
        <v>721-8/821-9</v>
      </c>
      <c r="C18" s="167" t="str">
        <f>'concentrado nocturno'!C19</f>
        <v>FINANZAS</v>
      </c>
      <c r="D18" s="168">
        <f>'concentrado nocturno'!D19</f>
        <v>0</v>
      </c>
      <c r="E18" s="178" t="str">
        <f>'concentrado nocturno'!E19</f>
        <v>A228</v>
      </c>
      <c r="F18" s="179" t="str">
        <f>'concentrado nocturno'!F19</f>
        <v>A96</v>
      </c>
      <c r="G18" s="179" t="str">
        <f>'concentrado nocturno'!G19</f>
        <v>A96</v>
      </c>
      <c r="H18" s="179" t="str">
        <f>'concentrado nocturno'!H19</f>
        <v>A238</v>
      </c>
      <c r="I18" s="179" t="str">
        <f>'concentrado nocturno'!I19</f>
        <v>A238</v>
      </c>
      <c r="J18" s="200">
        <f>'concentrado nocturno'!J19</f>
        <v>0</v>
      </c>
      <c r="K18" s="193"/>
    </row>
    <row r="19" spans="1:11" ht="39.950000000000003" customHeight="1">
      <c r="A19" s="166">
        <f>'concentrado nocturno'!A20</f>
        <v>8</v>
      </c>
      <c r="B19" s="167" t="str">
        <f>'concentrado nocturno'!B20</f>
        <v>821-9</v>
      </c>
      <c r="C19" s="167" t="str">
        <f>'concentrado nocturno'!C20</f>
        <v>Negocios</v>
      </c>
      <c r="D19" s="168" t="str">
        <f>'concentrado nocturno'!D20</f>
        <v>2AV</v>
      </c>
      <c r="E19" s="178" t="str">
        <f>'concentrado nocturno'!E20</f>
        <v>A237</v>
      </c>
      <c r="F19" s="179">
        <f>'concentrado nocturno'!F20</f>
        <v>1246</v>
      </c>
      <c r="G19" s="179" t="str">
        <f>'concentrado nocturno'!G20</f>
        <v>A55</v>
      </c>
      <c r="H19" s="179">
        <f>'concentrado nocturno'!H20</f>
        <v>2312</v>
      </c>
      <c r="I19" s="179">
        <f>'concentrado nocturno'!I20</f>
        <v>2312</v>
      </c>
      <c r="J19" s="200">
        <f>'concentrado nocturno'!J20</f>
        <v>0</v>
      </c>
      <c r="K19" s="193"/>
    </row>
    <row r="20" spans="1:11" ht="39.950000000000003" customHeight="1">
      <c r="A20" s="166">
        <f>'concentrado nocturno'!A21</f>
        <v>9</v>
      </c>
      <c r="B20" s="167" t="str">
        <f>'concentrado nocturno'!B21</f>
        <v>221-9</v>
      </c>
      <c r="C20" s="167" t="str">
        <f>'concentrado nocturno'!C21</f>
        <v>FINANZAS</v>
      </c>
      <c r="D20" s="168" t="str">
        <f>'concentrado nocturno'!D21</f>
        <v>5DV</v>
      </c>
      <c r="E20" s="178">
        <f>'concentrado nocturno'!E21</f>
        <v>1567</v>
      </c>
      <c r="F20" s="179">
        <f>'concentrado nocturno'!F21</f>
        <v>2312</v>
      </c>
      <c r="G20" s="179" t="str">
        <f>'concentrado nocturno'!G21</f>
        <v>A97</v>
      </c>
      <c r="H20" s="179" t="str">
        <f>'concentrado nocturno'!H21</f>
        <v>A96</v>
      </c>
      <c r="I20" s="179" t="str">
        <f>'concentrado nocturno'!I21</f>
        <v>1836 CC</v>
      </c>
      <c r="J20" s="200">
        <f>'concentrado nocturno'!J21</f>
        <v>0</v>
      </c>
      <c r="K20" s="193"/>
    </row>
    <row r="21" spans="1:11" ht="39.950000000000003" customHeight="1">
      <c r="A21" s="166">
        <f>'concentrado nocturno'!A22</f>
        <v>101</v>
      </c>
      <c r="B21" s="167" t="str">
        <f>'concentrado nocturno'!B22</f>
        <v>221-9</v>
      </c>
      <c r="C21" s="167" t="str">
        <f>'concentrado nocturno'!C22</f>
        <v>Civil</v>
      </c>
      <c r="D21" s="168" t="str">
        <f>'concentrado nocturno'!D22</f>
        <v>2CV</v>
      </c>
      <c r="E21" s="178">
        <f>'concentrado nocturno'!E22</f>
        <v>2543</v>
      </c>
      <c r="F21" s="179" t="str">
        <f>'concentrado nocturno'!F22</f>
        <v>A141</v>
      </c>
      <c r="G21" s="179" t="str">
        <f>'concentrado nocturno'!G22</f>
        <v>A141</v>
      </c>
      <c r="H21" s="179" t="str">
        <f>'concentrado nocturno'!H22</f>
        <v>A136</v>
      </c>
      <c r="I21" s="179" t="str">
        <f>'concentrado nocturno'!I22</f>
        <v>A136</v>
      </c>
      <c r="J21" s="200" t="str">
        <f>'concentrado nocturno'!J22</f>
        <v>JUPJ</v>
      </c>
      <c r="K21" s="193"/>
    </row>
    <row r="22" spans="1:11" ht="39.950000000000003" customHeight="1">
      <c r="A22" s="166">
        <f>'concentrado nocturno'!A23</f>
        <v>102</v>
      </c>
      <c r="B22" s="167" t="str">
        <f>'concentrado nocturno'!B23</f>
        <v>531-14</v>
      </c>
      <c r="C22" s="167" t="str">
        <f>'concentrado nocturno'!C23</f>
        <v>Civil</v>
      </c>
      <c r="D22" s="168">
        <f>'concentrado nocturno'!D23</f>
        <v>0</v>
      </c>
      <c r="E22" s="178">
        <f>'concentrado nocturno'!E23</f>
        <v>0</v>
      </c>
      <c r="F22" s="179">
        <f>'concentrado nocturno'!F23</f>
        <v>0</v>
      </c>
      <c r="G22" s="179">
        <f>'concentrado nocturno'!G23</f>
        <v>0</v>
      </c>
      <c r="H22" s="179">
        <f>'concentrado nocturno'!H23</f>
        <v>2401</v>
      </c>
      <c r="I22" s="179" t="str">
        <f>'concentrado nocturno'!I23</f>
        <v>A169</v>
      </c>
      <c r="J22" s="200" t="str">
        <f>'concentrado nocturno'!J23</f>
        <v>A169</v>
      </c>
      <c r="K22" s="193"/>
    </row>
    <row r="23" spans="1:11" ht="39.950000000000003" customHeight="1">
      <c r="A23" s="166">
        <f>'concentrado nocturno'!A24</f>
        <v>102</v>
      </c>
      <c r="B23" s="167" t="str">
        <f>'concentrado nocturno'!B24</f>
        <v>521-14</v>
      </c>
      <c r="C23" s="167" t="str">
        <f>'concentrado nocturno'!C24</f>
        <v>Civil</v>
      </c>
      <c r="D23" s="168" t="str">
        <f>'concentrado nocturno'!D24</f>
        <v>8BV, 5CN</v>
      </c>
      <c r="E23" s="178">
        <f>'concentrado nocturno'!E24</f>
        <v>1887</v>
      </c>
      <c r="F23" s="179">
        <f>'concentrado nocturno'!F24</f>
        <v>1887</v>
      </c>
      <c r="G23" s="179" t="str">
        <f>'concentrado nocturno'!G24</f>
        <v>A136</v>
      </c>
      <c r="H23" s="179">
        <f>'concentrado nocturno'!H24</f>
        <v>0</v>
      </c>
      <c r="I23" s="179">
        <f>'concentrado nocturno'!I24</f>
        <v>0</v>
      </c>
      <c r="J23" s="200">
        <f>'concentrado nocturno'!J24</f>
        <v>0</v>
      </c>
      <c r="K23" s="193"/>
    </row>
    <row r="24" spans="1:11" ht="39.950000000000003" customHeight="1">
      <c r="A24" s="166">
        <f>'concentrado nocturno'!A25</f>
        <v>103</v>
      </c>
      <c r="B24" s="167" t="str">
        <f>'concentrado nocturno'!B25</f>
        <v>821-14</v>
      </c>
      <c r="C24" s="167" t="str">
        <f>'concentrado nocturno'!C25</f>
        <v>Civil</v>
      </c>
      <c r="D24" s="168" t="str">
        <f>'concentrado nocturno'!D25</f>
        <v>5AV, 8BN</v>
      </c>
      <c r="E24" s="178">
        <f>'concentrado nocturno'!E25</f>
        <v>2401</v>
      </c>
      <c r="F24" s="179" t="str">
        <f>'concentrado nocturno'!F25</f>
        <v>A136</v>
      </c>
      <c r="G24" s="179">
        <f>'concentrado nocturno'!G25</f>
        <v>1246</v>
      </c>
      <c r="H24" s="179">
        <f>'concentrado nocturno'!H25</f>
        <v>0</v>
      </c>
      <c r="I24" s="179">
        <f>'concentrado nocturno'!I25</f>
        <v>0</v>
      </c>
      <c r="J24" s="200">
        <f>'concentrado nocturno'!J25</f>
        <v>0</v>
      </c>
      <c r="K24" s="193"/>
    </row>
    <row r="25" spans="1:11" ht="39.950000000000003" customHeight="1">
      <c r="A25" s="166">
        <f>'concentrado nocturno'!A26</f>
        <v>103</v>
      </c>
      <c r="B25" s="167" t="str">
        <f>'concentrado nocturno'!B26</f>
        <v>1131-14</v>
      </c>
      <c r="C25" s="167" t="str">
        <f>'concentrado nocturno'!C26</f>
        <v>Civil</v>
      </c>
      <c r="D25" s="168">
        <f>'concentrado nocturno'!D26</f>
        <v>0</v>
      </c>
      <c r="E25" s="178">
        <f>'concentrado nocturno'!E26</f>
        <v>0</v>
      </c>
      <c r="F25" s="179">
        <f>'concentrado nocturno'!F26</f>
        <v>0</v>
      </c>
      <c r="G25" s="179">
        <f>'concentrado nocturno'!G26</f>
        <v>0</v>
      </c>
      <c r="H25" s="179">
        <f>'concentrado nocturno'!H26</f>
        <v>2306</v>
      </c>
      <c r="I25" s="179">
        <f>'concentrado nocturno'!I26</f>
        <v>2306</v>
      </c>
      <c r="J25" s="200" t="str">
        <f>'concentrado nocturno'!J26</f>
        <v>S 101</v>
      </c>
      <c r="K25" s="193"/>
    </row>
    <row r="26" spans="1:11" ht="39.950000000000003" customHeight="1">
      <c r="A26" s="170">
        <f>'concentrado nocturno'!A27</f>
        <v>104</v>
      </c>
      <c r="B26" s="171" t="str">
        <f>'concentrado nocturno'!B27</f>
        <v>521-9</v>
      </c>
      <c r="C26" s="171" t="str">
        <f>'concentrado nocturno'!C27</f>
        <v>Negocios</v>
      </c>
      <c r="D26" s="172" t="str">
        <f>'concentrado nocturno'!D27</f>
        <v>8DV</v>
      </c>
      <c r="E26" s="180" t="str">
        <f>'concentrado nocturno'!E27</f>
        <v>A191</v>
      </c>
      <c r="F26" s="181" t="str">
        <f>'concentrado nocturno'!F27</f>
        <v>A191</v>
      </c>
      <c r="G26" s="181">
        <f>'concentrado nocturno'!G27</f>
        <v>2543</v>
      </c>
      <c r="H26" s="181" t="str">
        <f>'concentrado nocturno'!H27</f>
        <v>A55</v>
      </c>
      <c r="I26" s="181">
        <f>'concentrado nocturno'!I27</f>
        <v>2472</v>
      </c>
      <c r="J26" s="201">
        <f>'concentrado nocturno'!J27</f>
        <v>0</v>
      </c>
      <c r="K26" s="193"/>
    </row>
    <row r="27" spans="1:11" ht="39.950000000000003" customHeight="1">
      <c r="A27" s="182"/>
      <c r="B27" s="182"/>
      <c r="C27" s="182"/>
      <c r="D27" s="182"/>
      <c r="E27" s="183"/>
      <c r="F27" s="183"/>
      <c r="G27" s="183"/>
      <c r="H27" s="183"/>
      <c r="I27" s="193"/>
      <c r="J27" s="193"/>
      <c r="K27" s="193"/>
    </row>
    <row r="28" spans="1:11" ht="39.950000000000003" customHeight="1">
      <c r="A28" s="402" t="str">
        <f>A1</f>
        <v>REGISTRO DIARIO DE INCIDENCIAS</v>
      </c>
      <c r="B28" s="403"/>
      <c r="C28" s="403"/>
      <c r="D28" s="403"/>
      <c r="E28" s="403"/>
      <c r="F28" s="403"/>
      <c r="G28" s="403"/>
      <c r="H28" s="403"/>
      <c r="I28" s="403"/>
      <c r="J28" s="404"/>
      <c r="K28" s="193"/>
    </row>
    <row r="29" spans="1:11" ht="39.950000000000003" customHeight="1">
      <c r="A29" s="391" t="str">
        <f>A2</f>
        <v>PERIODO ENERO- ABRIL 2026</v>
      </c>
      <c r="B29" s="392"/>
      <c r="C29" s="392"/>
      <c r="D29" s="392"/>
      <c r="E29" s="392"/>
      <c r="F29" s="392"/>
      <c r="G29" s="392"/>
      <c r="H29" s="392"/>
      <c r="I29" s="392"/>
      <c r="J29" s="393"/>
      <c r="K29" s="193"/>
    </row>
    <row r="30" spans="1:11" ht="39.950000000000003" customHeight="1">
      <c r="A30" s="394" t="str">
        <f>A3</f>
        <v>TURNOS: VESP Y NOCTURNO</v>
      </c>
      <c r="B30" s="395"/>
      <c r="C30" s="395"/>
      <c r="D30" s="396">
        <f>D3</f>
        <v>46083</v>
      </c>
      <c r="E30" s="396"/>
      <c r="F30" s="396"/>
      <c r="G30" s="395" t="str">
        <f>G3</f>
        <v xml:space="preserve">SEM 9 LIC </v>
      </c>
      <c r="H30" s="395"/>
      <c r="I30" s="395"/>
      <c r="J30" s="397"/>
      <c r="K30" s="193"/>
    </row>
    <row r="31" spans="1:11" ht="39.950000000000003" customHeight="1">
      <c r="A31" s="184" t="str">
        <f t="shared" ref="A31:J31" si="0">A4</f>
        <v>Aula</v>
      </c>
      <c r="B31" s="185" t="str">
        <f t="shared" si="0"/>
        <v>Gpo.</v>
      </c>
      <c r="C31" s="185" t="str">
        <f t="shared" si="0"/>
        <v>Licenciatura</v>
      </c>
      <c r="D31" s="186" t="str">
        <f t="shared" si="0"/>
        <v>Op</v>
      </c>
      <c r="E31" s="187" t="str">
        <f t="shared" si="0"/>
        <v>16:00</v>
      </c>
      <c r="F31" s="188" t="str">
        <f t="shared" si="0"/>
        <v>17:00</v>
      </c>
      <c r="G31" s="188" t="str">
        <f t="shared" si="0"/>
        <v>18:00</v>
      </c>
      <c r="H31" s="188" t="str">
        <f t="shared" si="0"/>
        <v>19:00</v>
      </c>
      <c r="I31" s="188" t="str">
        <f t="shared" si="0"/>
        <v>20:00</v>
      </c>
      <c r="J31" s="202" t="str">
        <f t="shared" si="0"/>
        <v>21:00</v>
      </c>
      <c r="K31" s="193"/>
    </row>
    <row r="32" spans="1:11" ht="39.950000000000003" customHeight="1">
      <c r="A32" s="189">
        <f>'concentrado nocturno'!A28</f>
        <v>201</v>
      </c>
      <c r="B32" s="189" t="str">
        <f>'concentrado nocturno'!B28</f>
        <v>1431-14</v>
      </c>
      <c r="C32" s="189" t="str">
        <f>'concentrado nocturno'!C28</f>
        <v>Civil</v>
      </c>
      <c r="D32" s="189" t="str">
        <f>'concentrado nocturno'!D28</f>
        <v>8AV, 5BV</v>
      </c>
      <c r="E32" s="189">
        <f>'concentrado nocturno'!E28</f>
        <v>0</v>
      </c>
      <c r="F32" s="189">
        <f>'concentrado nocturno'!F28</f>
        <v>0</v>
      </c>
      <c r="G32" s="189">
        <f>'concentrado nocturno'!G28</f>
        <v>0</v>
      </c>
      <c r="H32" s="189" t="str">
        <f>'concentrado nocturno'!H28</f>
        <v>A145</v>
      </c>
      <c r="I32" s="189">
        <f>'concentrado nocturno'!I28</f>
        <v>2338</v>
      </c>
      <c r="J32" s="189" t="str">
        <f>'concentrado nocturno'!J28</f>
        <v>A261</v>
      </c>
      <c r="K32" s="193"/>
    </row>
    <row r="33" spans="1:11" ht="39.950000000000003" customHeight="1" thickTop="1" thickBot="1">
      <c r="A33" s="189">
        <f>'concentrado nocturno'!A29</f>
        <v>202</v>
      </c>
      <c r="B33" s="189" t="str">
        <f>'concentrado nocturno'!B29</f>
        <v>831-14</v>
      </c>
      <c r="C33" s="189" t="str">
        <f>'concentrado nocturno'!C29</f>
        <v>Psicologia</v>
      </c>
      <c r="D33" s="189">
        <f>'concentrado nocturno'!D29</f>
        <v>0</v>
      </c>
      <c r="E33" s="189">
        <f>'concentrado nocturno'!E29</f>
        <v>0</v>
      </c>
      <c r="F33" s="189">
        <f>'concentrado nocturno'!F29</f>
        <v>0</v>
      </c>
      <c r="G33" s="189">
        <f>'concentrado nocturno'!G29</f>
        <v>0</v>
      </c>
      <c r="H33" s="189" t="str">
        <f>'concentrado nocturno'!H29</f>
        <v>S 001</v>
      </c>
      <c r="I33" s="189">
        <f>'concentrado nocturno'!I29</f>
        <v>2206</v>
      </c>
      <c r="J33" s="189">
        <f>'concentrado nocturno'!J29</f>
        <v>1360</v>
      </c>
      <c r="K33" s="193"/>
    </row>
    <row r="34" spans="1:11" ht="39.950000000000003" customHeight="1" thickTop="1" thickBot="1">
      <c r="A34" s="189" t="str">
        <f>'concentrado nocturno'!A30</f>
        <v>203 Sim</v>
      </c>
      <c r="B34" s="189">
        <f>'concentrado nocturno'!B30</f>
        <v>0</v>
      </c>
      <c r="C34" s="189" t="str">
        <f>'concentrado nocturno'!C30</f>
        <v>Compu</v>
      </c>
      <c r="D34" s="189">
        <f>'concentrado nocturno'!D30</f>
        <v>0</v>
      </c>
      <c r="E34" s="189">
        <f>'concentrado nocturno'!E30</f>
        <v>0</v>
      </c>
      <c r="F34" s="189">
        <f>'concentrado nocturno'!F30</f>
        <v>0</v>
      </c>
      <c r="G34" s="189">
        <f>'concentrado nocturno'!G30</f>
        <v>0</v>
      </c>
      <c r="H34" s="189">
        <f>'concentrado nocturno'!H30</f>
        <v>1035</v>
      </c>
      <c r="I34" s="189">
        <f>'concentrado nocturno'!I30</f>
        <v>1035</v>
      </c>
      <c r="J34" s="189">
        <f>'concentrado nocturno'!J30</f>
        <v>0</v>
      </c>
      <c r="K34" s="193"/>
    </row>
    <row r="35" spans="1:11" ht="39.950000000000003" customHeight="1" thickTop="1" thickBot="1">
      <c r="A35" s="189">
        <f>'concentrado nocturno'!A31</f>
        <v>204</v>
      </c>
      <c r="B35" s="189" t="str">
        <f>'concentrado nocturno'!B31</f>
        <v>731-13/831-14</v>
      </c>
      <c r="C35" s="189" t="str">
        <f>'concentrado nocturno'!C31</f>
        <v>Electro</v>
      </c>
      <c r="D35" s="189">
        <f>'concentrado nocturno'!D31</f>
        <v>0</v>
      </c>
      <c r="E35" s="189">
        <f>'concentrado nocturno'!E31</f>
        <v>0</v>
      </c>
      <c r="F35" s="189">
        <f>'concentrado nocturno'!F31</f>
        <v>0</v>
      </c>
      <c r="G35" s="189">
        <f>'concentrado nocturno'!G31</f>
        <v>0</v>
      </c>
      <c r="H35" s="189" t="str">
        <f>'concentrado nocturno'!H31</f>
        <v>2310 s302</v>
      </c>
      <c r="I35" s="189" t="str">
        <f>'concentrado nocturno'!I31</f>
        <v>2310 s302</v>
      </c>
      <c r="J35" s="189" t="str">
        <f>'concentrado nocturno'!J31</f>
        <v>2310 s302</v>
      </c>
      <c r="K35" s="193"/>
    </row>
    <row r="36" spans="1:11" ht="39.950000000000003" customHeight="1" thickTop="1" thickBot="1">
      <c r="A36" s="189">
        <f>'concentrado nocturno'!A32</f>
        <v>205</v>
      </c>
      <c r="B36" s="189" t="str">
        <f>'concentrado nocturno'!B32</f>
        <v>1121-14</v>
      </c>
      <c r="C36" s="189" t="str">
        <f>'concentrado nocturno'!C32</f>
        <v>Psicologia</v>
      </c>
      <c r="D36" s="189" t="str">
        <f>'concentrado nocturno'!D32</f>
        <v>8CV, 2BN</v>
      </c>
      <c r="E36" s="189">
        <f>'concentrado nocturno'!E32</f>
        <v>2396</v>
      </c>
      <c r="F36" s="189">
        <f>'concentrado nocturno'!F32</f>
        <v>1769</v>
      </c>
      <c r="G36" s="189">
        <f>'concentrado nocturno'!G32</f>
        <v>2372</v>
      </c>
      <c r="H36" s="189">
        <f>'concentrado nocturno'!H32</f>
        <v>0</v>
      </c>
      <c r="I36" s="189">
        <f>'concentrado nocturno'!I32</f>
        <v>0</v>
      </c>
      <c r="J36" s="189">
        <f>'concentrado nocturno'!J32</f>
        <v>0</v>
      </c>
      <c r="K36" s="193"/>
    </row>
    <row r="37" spans="1:11" ht="39.950000000000003" hidden="1" customHeight="1">
      <c r="A37" s="189">
        <f>'concentrado nocturno'!A33</f>
        <v>205</v>
      </c>
      <c r="B37" s="189">
        <f>'concentrado nocturno'!B33</f>
        <v>0</v>
      </c>
      <c r="C37" s="189">
        <f>'concentrado nocturno'!C33</f>
        <v>0</v>
      </c>
      <c r="D37" s="189">
        <f>'concentrado nocturno'!D33</f>
        <v>0</v>
      </c>
      <c r="E37" s="189">
        <f>'concentrado nocturno'!E33</f>
        <v>0</v>
      </c>
      <c r="F37" s="189">
        <f>'concentrado nocturno'!F33</f>
        <v>0</v>
      </c>
      <c r="G37" s="189">
        <f>'concentrado nocturno'!G33</f>
        <v>0</v>
      </c>
      <c r="H37" s="189">
        <f>'concentrado nocturno'!H33</f>
        <v>0</v>
      </c>
      <c r="I37" s="189">
        <f>'concentrado nocturno'!I33</f>
        <v>0</v>
      </c>
      <c r="J37" s="189">
        <f>'concentrado nocturno'!J33</f>
        <v>0</v>
      </c>
      <c r="K37" s="193"/>
    </row>
    <row r="38" spans="1:11" ht="39.950000000000003" customHeight="1" thickTop="1" thickBot="1">
      <c r="A38" s="189">
        <f>'concentrado nocturno'!A34</f>
        <v>206</v>
      </c>
      <c r="B38" s="189" t="str">
        <f>'concentrado nocturno'!B34</f>
        <v>231-14</v>
      </c>
      <c r="C38" s="189" t="str">
        <f>'concentrado nocturno'!C34</f>
        <v>Civil</v>
      </c>
      <c r="D38" s="189">
        <f>'concentrado nocturno'!D34</f>
        <v>0</v>
      </c>
      <c r="E38" s="189">
        <f>'concentrado nocturno'!E34</f>
        <v>0</v>
      </c>
      <c r="F38" s="189">
        <f>'concentrado nocturno'!F34</f>
        <v>0</v>
      </c>
      <c r="G38" s="189">
        <f>'concentrado nocturno'!G34</f>
        <v>0</v>
      </c>
      <c r="H38" s="189" t="str">
        <f>'concentrado nocturno'!H34</f>
        <v>A141</v>
      </c>
      <c r="I38" s="189" t="str">
        <f>'concentrado nocturno'!I34</f>
        <v>A141</v>
      </c>
      <c r="J38" s="189">
        <f>'concentrado nocturno'!J34</f>
        <v>848</v>
      </c>
      <c r="K38" s="193"/>
    </row>
    <row r="39" spans="1:11" ht="39.950000000000003" customHeight="1" thickTop="1" thickBot="1">
      <c r="A39" s="189">
        <f>'concentrado nocturno'!A35</f>
        <v>207</v>
      </c>
      <c r="B39" s="189" t="str">
        <f>'concentrado nocturno'!B35</f>
        <v>231-14</v>
      </c>
      <c r="C39" s="189" t="str">
        <f>'concentrado nocturno'!C35</f>
        <v>Psicologia</v>
      </c>
      <c r="D39" s="189">
        <f>'concentrado nocturno'!D35</f>
        <v>0</v>
      </c>
      <c r="E39" s="189">
        <f>'concentrado nocturno'!E35</f>
        <v>0</v>
      </c>
      <c r="F39" s="189">
        <f>'concentrado nocturno'!F35</f>
        <v>0</v>
      </c>
      <c r="G39" s="189">
        <f>'concentrado nocturno'!G35</f>
        <v>0</v>
      </c>
      <c r="H39" s="189">
        <f>'concentrado nocturno'!H35</f>
        <v>2409</v>
      </c>
      <c r="I39" s="189">
        <f>'concentrado nocturno'!I35</f>
        <v>2409</v>
      </c>
      <c r="J39" s="189">
        <f>'concentrado nocturno'!J35</f>
        <v>1769</v>
      </c>
      <c r="K39" s="193"/>
    </row>
    <row r="40" spans="1:11" ht="39.950000000000003" customHeight="1">
      <c r="A40" s="189">
        <f>'concentrado nocturno'!A37</f>
        <v>209</v>
      </c>
      <c r="B40" s="189" t="str">
        <f>'concentrado nocturno'!B37</f>
        <v>1331-13/1431-14</v>
      </c>
      <c r="C40" s="189" t="str">
        <f>'concentrado nocturno'!C37</f>
        <v>Industrial</v>
      </c>
      <c r="D40" s="189">
        <f>'concentrado nocturno'!D37</f>
        <v>0</v>
      </c>
      <c r="E40" s="189">
        <f>'concentrado nocturno'!E37</f>
        <v>964</v>
      </c>
      <c r="F40" s="189">
        <f>'concentrado nocturno'!F37</f>
        <v>964</v>
      </c>
      <c r="G40" s="189">
        <f>'concentrado nocturno'!G37</f>
        <v>2130</v>
      </c>
      <c r="H40" s="189" t="str">
        <f>'concentrado nocturno'!H37</f>
        <v>S 218</v>
      </c>
      <c r="I40" s="189">
        <f>'concentrado nocturno'!I37</f>
        <v>2182</v>
      </c>
      <c r="J40" s="189">
        <f>'concentrado nocturno'!J37</f>
        <v>2182</v>
      </c>
      <c r="K40" s="193"/>
    </row>
    <row r="41" spans="1:11" ht="39.950000000000003" customHeight="1">
      <c r="A41" s="189">
        <f>'concentrado nocturno'!A36</f>
        <v>208</v>
      </c>
      <c r="B41" s="189" t="str">
        <f>'concentrado nocturno'!B36</f>
        <v>821-9</v>
      </c>
      <c r="C41" s="189" t="str">
        <f>'concentrado nocturno'!C36</f>
        <v>Industrial</v>
      </c>
      <c r="D41" s="189">
        <f>'concentrado nocturno'!D36</f>
        <v>0</v>
      </c>
      <c r="E41" s="189" t="str">
        <f>'concentrado nocturno'!E36</f>
        <v>S 209</v>
      </c>
      <c r="F41" s="189" t="str">
        <f>'concentrado nocturno'!F36</f>
        <v>S 209</v>
      </c>
      <c r="G41" s="189" t="str">
        <f>'concentrado nocturno'!G36</f>
        <v>S 209</v>
      </c>
      <c r="H41" s="189">
        <f>'concentrado nocturno'!H36</f>
        <v>2130</v>
      </c>
      <c r="I41" s="189">
        <f>'concentrado nocturno'!I36</f>
        <v>1562</v>
      </c>
      <c r="J41" s="189">
        <f>'concentrado nocturno'!J36</f>
        <v>0</v>
      </c>
      <c r="K41" s="193"/>
    </row>
    <row r="42" spans="1:11" ht="39.950000000000003" customHeight="1">
      <c r="A42" s="189">
        <f>'concentrado nocturno'!A38</f>
        <v>210</v>
      </c>
      <c r="B42" s="189" t="str">
        <f>'concentrado nocturno'!B38</f>
        <v>121-13</v>
      </c>
      <c r="C42" s="189" t="str">
        <f>'concentrado nocturno'!C38</f>
        <v>Psicologia</v>
      </c>
      <c r="D42" s="189">
        <f>'concentrado nocturno'!D38</f>
        <v>0</v>
      </c>
      <c r="E42" s="189">
        <f>'concentrado nocturno'!E38</f>
        <v>0</v>
      </c>
      <c r="F42" s="189">
        <f>'concentrado nocturno'!F38</f>
        <v>0</v>
      </c>
      <c r="G42" s="189">
        <f>'concentrado nocturno'!G38</f>
        <v>0</v>
      </c>
      <c r="H42" s="189">
        <f>'concentrado nocturno'!H38</f>
        <v>1581</v>
      </c>
      <c r="I42" s="189">
        <f>'concentrado nocturno'!I38</f>
        <v>1581</v>
      </c>
      <c r="J42" s="189">
        <f>'concentrado nocturno'!J38</f>
        <v>0</v>
      </c>
      <c r="K42" s="193"/>
    </row>
    <row r="43" spans="1:11" ht="39.950000000000003" customHeight="1">
      <c r="A43" s="189">
        <f>'concentrado nocturno'!A39</f>
        <v>211</v>
      </c>
      <c r="B43" s="189" t="str">
        <f>'concentrado nocturno'!B39</f>
        <v>1431-14</v>
      </c>
      <c r="C43" s="189" t="str">
        <f>'concentrado nocturno'!C39</f>
        <v>FINANZAS</v>
      </c>
      <c r="D43" s="189">
        <f>'concentrado nocturno'!D39</f>
        <v>0</v>
      </c>
      <c r="E43" s="189">
        <f>'concentrado nocturno'!E39</f>
        <v>0</v>
      </c>
      <c r="F43" s="189">
        <f>'concentrado nocturno'!F39</f>
        <v>0</v>
      </c>
      <c r="G43" s="189">
        <f>'concentrado nocturno'!G39</f>
        <v>0</v>
      </c>
      <c r="H43" s="189" t="str">
        <f>'concentrado nocturno'!H39</f>
        <v>A99</v>
      </c>
      <c r="I43" s="189" t="str">
        <f>'concentrado nocturno'!I39</f>
        <v>A99 CC</v>
      </c>
      <c r="J43" s="189">
        <f>'concentrado nocturno'!J39</f>
        <v>1990</v>
      </c>
      <c r="K43" s="193"/>
    </row>
    <row r="44" spans="1:11" ht="39.950000000000003" customHeight="1">
      <c r="A44" s="189">
        <f>'concentrado nocturno'!A40</f>
        <v>211</v>
      </c>
      <c r="B44" s="189" t="str">
        <f>'concentrado nocturno'!B40</f>
        <v>1421-14</v>
      </c>
      <c r="C44" s="189" t="str">
        <f>'concentrado nocturno'!C40</f>
        <v>Psicologia</v>
      </c>
      <c r="D44" s="189">
        <f>'concentrado nocturno'!D40</f>
        <v>0</v>
      </c>
      <c r="E44" s="189">
        <f>'concentrado nocturno'!E40</f>
        <v>2372</v>
      </c>
      <c r="F44" s="189" t="str">
        <f>'concentrado nocturno'!F40</f>
        <v>A121</v>
      </c>
      <c r="G44" s="189">
        <f>'concentrado nocturno'!G40</f>
        <v>1456</v>
      </c>
      <c r="H44" s="189">
        <f>'concentrado nocturno'!H40</f>
        <v>0</v>
      </c>
      <c r="I44" s="189">
        <f>'concentrado nocturno'!I40</f>
        <v>0</v>
      </c>
      <c r="J44" s="189">
        <f>'concentrado nocturno'!J40</f>
        <v>0</v>
      </c>
      <c r="K44" s="193"/>
    </row>
    <row r="45" spans="1:11" ht="39.950000000000003" customHeight="1" thickTop="1" thickBot="1">
      <c r="A45" s="189">
        <f>'concentrado nocturno'!A41</f>
        <v>212</v>
      </c>
      <c r="B45" s="189" t="str">
        <f>'concentrado nocturno'!B41</f>
        <v>421-8</v>
      </c>
      <c r="C45" s="189" t="str">
        <f>'concentrado nocturno'!C41</f>
        <v>Industrial</v>
      </c>
      <c r="D45" s="189">
        <f>'concentrado nocturno'!D41</f>
        <v>0</v>
      </c>
      <c r="E45" s="189">
        <f>'concentrado nocturno'!E41</f>
        <v>765</v>
      </c>
      <c r="F45" s="189">
        <f>'concentrado nocturno'!F41</f>
        <v>765</v>
      </c>
      <c r="G45" s="189" t="str">
        <f>'concentrado nocturno'!G41</f>
        <v>S. 301-A</v>
      </c>
      <c r="H45" s="189" t="str">
        <f>'concentrado nocturno'!H41</f>
        <v>S. 301-A</v>
      </c>
      <c r="I45" s="189" t="str">
        <f>'concentrado nocturno'!I41</f>
        <v>S. 301-A</v>
      </c>
      <c r="J45" s="189">
        <f>'concentrado nocturno'!J41</f>
        <v>964</v>
      </c>
      <c r="K45" s="193"/>
    </row>
    <row r="46" spans="1:11" ht="39.950000000000003" customHeight="1" thickTop="1" thickBot="1">
      <c r="A46" s="189">
        <f>'concentrado nocturno'!A43</f>
        <v>213</v>
      </c>
      <c r="B46" s="189" t="str">
        <f>'concentrado nocturno'!B43</f>
        <v>521-14</v>
      </c>
      <c r="C46" s="189" t="str">
        <f>'concentrado nocturno'!C43</f>
        <v>FINANZAS</v>
      </c>
      <c r="D46" s="189">
        <f>'concentrado nocturno'!D43</f>
        <v>0</v>
      </c>
      <c r="E46" s="189" t="str">
        <f>'concentrado nocturno'!E43</f>
        <v>1228 CC</v>
      </c>
      <c r="F46" s="189" t="str">
        <f>'concentrado nocturno'!F43</f>
        <v>A97</v>
      </c>
      <c r="G46" s="189" t="str">
        <f>'concentrado nocturno'!G43</f>
        <v>A166</v>
      </c>
      <c r="H46" s="189">
        <f>'concentrado nocturno'!H43</f>
        <v>0</v>
      </c>
      <c r="I46" s="189">
        <f>'concentrado nocturno'!I43</f>
        <v>0</v>
      </c>
      <c r="J46" s="189">
        <f>'concentrado nocturno'!J43</f>
        <v>0</v>
      </c>
      <c r="K46" s="193"/>
    </row>
    <row r="47" spans="1:11" ht="39.950000000000003" customHeight="1">
      <c r="A47" s="189">
        <f>'concentrado nocturno'!A44</f>
        <v>214</v>
      </c>
      <c r="B47" s="189">
        <f>'concentrado nocturno'!B44</f>
        <v>0</v>
      </c>
      <c r="C47" s="189">
        <f>'concentrado nocturno'!C44</f>
        <v>0</v>
      </c>
      <c r="D47" s="189">
        <f>'concentrado nocturno'!D44</f>
        <v>0</v>
      </c>
      <c r="E47" s="189">
        <f>'concentrado nocturno'!E44</f>
        <v>0</v>
      </c>
      <c r="F47" s="189">
        <f>'concentrado nocturno'!F44</f>
        <v>0</v>
      </c>
      <c r="G47" s="189">
        <f>'concentrado nocturno'!G44</f>
        <v>0</v>
      </c>
      <c r="H47" s="189">
        <f>'concentrado nocturno'!H44</f>
        <v>0</v>
      </c>
      <c r="I47" s="189">
        <f>'concentrado nocturno'!I44</f>
        <v>0</v>
      </c>
      <c r="J47" s="189">
        <f>'concentrado nocturno'!J44</f>
        <v>0</v>
      </c>
      <c r="K47" s="193"/>
    </row>
    <row r="48" spans="1:11" ht="39.950000000000003" customHeight="1">
      <c r="A48" s="189">
        <f>'concentrado nocturno'!A45</f>
        <v>215</v>
      </c>
      <c r="B48" s="189" t="str">
        <f>'concentrado nocturno'!B45</f>
        <v>1421-14</v>
      </c>
      <c r="C48" s="189" t="str">
        <f>'concentrado nocturno'!C45</f>
        <v>Compu</v>
      </c>
      <c r="D48" s="189">
        <f>'concentrado nocturno'!D45</f>
        <v>0</v>
      </c>
      <c r="E48" s="189">
        <f>'concentrado nocturno'!E45</f>
        <v>0</v>
      </c>
      <c r="F48" s="189" t="str">
        <f>'concentrado nocturno'!F45</f>
        <v>1035 CC</v>
      </c>
      <c r="G48" s="189" t="str">
        <f>'concentrado nocturno'!G45</f>
        <v>A161 CC</v>
      </c>
      <c r="H48" s="189" t="str">
        <f>'concentrado nocturno'!H45</f>
        <v>A161 CC</v>
      </c>
      <c r="I48" s="189">
        <f>'concentrado nocturno'!I45</f>
        <v>0</v>
      </c>
      <c r="J48" s="189">
        <f>'concentrado nocturno'!J45</f>
        <v>0</v>
      </c>
      <c r="K48" s="193"/>
    </row>
    <row r="49" spans="1:11" ht="39.950000000000003" customHeight="1">
      <c r="A49" s="189">
        <f>'concentrado nocturno'!A46</f>
        <v>216</v>
      </c>
      <c r="B49" s="189" t="str">
        <f>'concentrado nocturno'!B46</f>
        <v>821-14</v>
      </c>
      <c r="C49" s="189" t="str">
        <f>'concentrado nocturno'!C46</f>
        <v>Mecatronica</v>
      </c>
      <c r="D49" s="189">
        <f>'concentrado nocturno'!D46</f>
        <v>0</v>
      </c>
      <c r="E49" s="189">
        <f>'concentrado nocturno'!E46</f>
        <v>0</v>
      </c>
      <c r="F49" s="189">
        <f>'concentrado nocturno'!F46</f>
        <v>2387</v>
      </c>
      <c r="G49" s="189">
        <f>'concentrado nocturno'!G46</f>
        <v>1534</v>
      </c>
      <c r="H49" s="189" t="str">
        <f>'concentrado nocturno'!H46</f>
        <v>S 001</v>
      </c>
      <c r="I49" s="189">
        <f>'concentrado nocturno'!I46</f>
        <v>2387</v>
      </c>
      <c r="J49" s="189">
        <f>'concentrado nocturno'!J46</f>
        <v>0</v>
      </c>
      <c r="K49" s="193"/>
    </row>
    <row r="50" spans="1:11" ht="39.950000000000003" customHeight="1" thickTop="1" thickBot="1">
      <c r="A50" s="189">
        <f>'concentrado nocturno'!A47</f>
        <v>217</v>
      </c>
      <c r="B50" s="189">
        <f>'concentrado nocturno'!B47</f>
        <v>0</v>
      </c>
      <c r="C50" s="189">
        <f>'concentrado nocturno'!C47</f>
        <v>0</v>
      </c>
      <c r="D50" s="189">
        <f>'concentrado nocturno'!D47</f>
        <v>0</v>
      </c>
      <c r="E50" s="189">
        <f>'concentrado nocturno'!E47</f>
        <v>0</v>
      </c>
      <c r="F50" s="189">
        <f>'concentrado nocturno'!F47</f>
        <v>0</v>
      </c>
      <c r="G50" s="189">
        <f>'concentrado nocturno'!G47</f>
        <v>0</v>
      </c>
      <c r="H50" s="189">
        <f>'concentrado nocturno'!H47</f>
        <v>0</v>
      </c>
      <c r="I50" s="189">
        <f>'concentrado nocturno'!I47</f>
        <v>0</v>
      </c>
      <c r="J50" s="189">
        <f>'concentrado nocturno'!J47</f>
        <v>0</v>
      </c>
      <c r="K50" s="193"/>
    </row>
    <row r="51" spans="1:11" ht="39.950000000000003" customHeight="1" thickTop="1" thickBot="1">
      <c r="A51" s="189">
        <f>'concentrado nocturno'!A48</f>
        <v>218</v>
      </c>
      <c r="B51" s="189" t="str">
        <f>'concentrado nocturno'!B48</f>
        <v>1031-13/1131-14</v>
      </c>
      <c r="C51" s="189" t="str">
        <f>'concentrado nocturno'!C48</f>
        <v>Industrial</v>
      </c>
      <c r="D51" s="189">
        <f>'concentrado nocturno'!D48</f>
        <v>0</v>
      </c>
      <c r="E51" s="189">
        <f>'concentrado nocturno'!E48</f>
        <v>0</v>
      </c>
      <c r="F51" s="189">
        <f>'concentrado nocturno'!F48</f>
        <v>0</v>
      </c>
      <c r="G51" s="189">
        <f>'concentrado nocturno'!G48</f>
        <v>0</v>
      </c>
      <c r="H51" s="189" t="str">
        <f>'concentrado nocturno'!H48</f>
        <v>98 sln218</v>
      </c>
      <c r="I51" s="189" t="str">
        <f>'concentrado nocturno'!I48</f>
        <v>A103</v>
      </c>
      <c r="J51" s="189" t="str">
        <f>'concentrado nocturno'!J48</f>
        <v>A103</v>
      </c>
      <c r="K51" s="193"/>
    </row>
    <row r="52" spans="1:11" ht="39.950000000000003" customHeight="1" thickTop="1" thickBot="1">
      <c r="A52" s="189" t="str">
        <f>'concentrado nocturno'!A49</f>
        <v>219-A</v>
      </c>
      <c r="B52" s="189" t="str">
        <f>'concentrado nocturno'!B49</f>
        <v>521-9</v>
      </c>
      <c r="C52" s="189" t="str">
        <f>'concentrado nocturno'!C49</f>
        <v>Mecatronica</v>
      </c>
      <c r="D52" s="189">
        <f>'concentrado nocturno'!D49</f>
        <v>0</v>
      </c>
      <c r="E52" s="189" t="str">
        <f>'concentrado nocturno'!E49</f>
        <v>1602 sln308</v>
      </c>
      <c r="F52" s="189" t="str">
        <f>'concentrado nocturno'!F49</f>
        <v>1602 S308</v>
      </c>
      <c r="G52" s="189" t="str">
        <f>'concentrado nocturno'!G49</f>
        <v>2453 S 220</v>
      </c>
      <c r="H52" s="189">
        <f>'concentrado nocturno'!H49</f>
        <v>2040</v>
      </c>
      <c r="I52" s="189">
        <f>'concentrado nocturno'!I49</f>
        <v>2040</v>
      </c>
      <c r="J52" s="189">
        <f>'concentrado nocturno'!J49</f>
        <v>0</v>
      </c>
      <c r="K52" s="193"/>
    </row>
    <row r="53" spans="1:11" ht="39.950000000000003" customHeight="1" thickTop="1" thickBot="1">
      <c r="A53" s="189">
        <f>'concentrado nocturno'!A50</f>
        <v>219</v>
      </c>
      <c r="B53" s="189">
        <f>'concentrado nocturno'!B50</f>
        <v>0</v>
      </c>
      <c r="C53" s="189">
        <f>'concentrado nocturno'!C50</f>
        <v>0</v>
      </c>
      <c r="D53" s="189">
        <f>'concentrado nocturno'!D50</f>
        <v>0</v>
      </c>
      <c r="E53" s="189">
        <f>'concentrado nocturno'!E50</f>
        <v>0</v>
      </c>
      <c r="F53" s="189">
        <f>'concentrado nocturno'!F50</f>
        <v>0</v>
      </c>
      <c r="G53" s="189">
        <f>'concentrado nocturno'!G50</f>
        <v>0</v>
      </c>
      <c r="H53" s="189">
        <f>'concentrado nocturno'!H50</f>
        <v>0</v>
      </c>
      <c r="I53" s="189">
        <f>'concentrado nocturno'!I50</f>
        <v>0</v>
      </c>
      <c r="J53" s="189">
        <f>'concentrado nocturno'!J50</f>
        <v>0</v>
      </c>
      <c r="K53" s="193"/>
    </row>
    <row r="54" spans="1:11" ht="39.950000000000003" customHeight="1">
      <c r="A54" s="189">
        <f>'concentrado nocturno'!A51</f>
        <v>220</v>
      </c>
      <c r="B54" s="189" t="str">
        <f>'concentrado nocturno'!B51</f>
        <v>1031-13/1131-14</v>
      </c>
      <c r="C54" s="189" t="str">
        <f>'concentrado nocturno'!C51</f>
        <v>Compu</v>
      </c>
      <c r="D54" s="189">
        <f>'concentrado nocturno'!D51</f>
        <v>0</v>
      </c>
      <c r="E54" s="189">
        <f>'concentrado nocturno'!E51</f>
        <v>0</v>
      </c>
      <c r="F54" s="189">
        <f>'concentrado nocturno'!F51</f>
        <v>0</v>
      </c>
      <c r="G54" s="189" t="str">
        <f>'concentrado nocturno'!G51</f>
        <v>335 CC</v>
      </c>
      <c r="H54" s="189" t="str">
        <f>'concentrado nocturno'!H51</f>
        <v>335 CC</v>
      </c>
      <c r="I54" s="189" t="str">
        <f>'concentrado nocturno'!I51</f>
        <v>335 CC</v>
      </c>
      <c r="J54" s="189">
        <f>'concentrado nocturno'!J51</f>
        <v>0</v>
      </c>
      <c r="K54" s="193"/>
    </row>
    <row r="55" spans="1:11" ht="39.950000000000003" customHeight="1" thickTop="1" thickBot="1">
      <c r="A55" s="189">
        <f>'concentrado nocturno'!A52</f>
        <v>221</v>
      </c>
      <c r="B55" s="189" t="str">
        <f>'concentrado nocturno'!B52</f>
        <v>731-13/831-14</v>
      </c>
      <c r="C55" s="189" t="str">
        <f>'concentrado nocturno'!C52</f>
        <v>Compu</v>
      </c>
      <c r="D55" s="189">
        <f>'concentrado nocturno'!D52</f>
        <v>0</v>
      </c>
      <c r="E55" s="189">
        <f>'concentrado nocturno'!E52</f>
        <v>0</v>
      </c>
      <c r="F55" s="189">
        <f>'concentrado nocturno'!F52</f>
        <v>0</v>
      </c>
      <c r="G55" s="189">
        <f>'concentrado nocturno'!G52</f>
        <v>2453</v>
      </c>
      <c r="H55" s="189" t="str">
        <f>'concentrado nocturno'!H52</f>
        <v>1035 SIM</v>
      </c>
      <c r="I55" s="189" t="str">
        <f>'concentrado nocturno'!I52</f>
        <v>1035 SIM</v>
      </c>
      <c r="J55" s="189">
        <f>'concentrado nocturno'!J52</f>
        <v>0</v>
      </c>
      <c r="K55" s="193"/>
    </row>
    <row r="56" spans="1:11" ht="39.950000000000003" customHeight="1" thickTop="1" thickBot="1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93"/>
    </row>
    <row r="57" spans="1:11" ht="39.950000000000003" customHeight="1">
      <c r="A57" s="388" t="str">
        <f>A28</f>
        <v>REGISTRO DIARIO DE INCIDENCIAS</v>
      </c>
      <c r="B57" s="389"/>
      <c r="C57" s="389"/>
      <c r="D57" s="389"/>
      <c r="E57" s="389"/>
      <c r="F57" s="389"/>
      <c r="G57" s="389"/>
      <c r="H57" s="389"/>
      <c r="I57" s="389"/>
      <c r="J57" s="390"/>
      <c r="K57" s="193"/>
    </row>
    <row r="58" spans="1:11" ht="39.950000000000003" customHeight="1">
      <c r="A58" s="391" t="str">
        <f>A29</f>
        <v>PERIODO ENERO- ABRIL 2026</v>
      </c>
      <c r="B58" s="392"/>
      <c r="C58" s="392"/>
      <c r="D58" s="392"/>
      <c r="E58" s="392"/>
      <c r="F58" s="392"/>
      <c r="G58" s="392"/>
      <c r="H58" s="392"/>
      <c r="I58" s="392"/>
      <c r="J58" s="393"/>
      <c r="K58" s="193"/>
    </row>
    <row r="59" spans="1:11" ht="39.950000000000003" customHeight="1">
      <c r="A59" s="394" t="str">
        <f>A30</f>
        <v>TURNOS: VESP Y NOCTURNO</v>
      </c>
      <c r="B59" s="395"/>
      <c r="C59" s="395"/>
      <c r="D59" s="396">
        <f>D30</f>
        <v>46083</v>
      </c>
      <c r="E59" s="396"/>
      <c r="F59" s="396"/>
      <c r="G59" s="395" t="str">
        <f>G30</f>
        <v xml:space="preserve">SEM 9 LIC </v>
      </c>
      <c r="H59" s="395"/>
      <c r="I59" s="395"/>
      <c r="J59" s="397"/>
      <c r="K59" s="193"/>
    </row>
    <row r="60" spans="1:11" ht="39.950000000000003" customHeight="1">
      <c r="A60" s="190" t="str">
        <f>A31</f>
        <v>Aula</v>
      </c>
      <c r="B60" s="190" t="str">
        <f>B31</f>
        <v>Gpo.</v>
      </c>
      <c r="C60" s="190" t="str">
        <f>C31</f>
        <v>Licenciatura</v>
      </c>
      <c r="D60" s="190" t="str">
        <f>D31</f>
        <v>Op</v>
      </c>
      <c r="E60" s="191" t="str">
        <f>E31</f>
        <v>16:00</v>
      </c>
      <c r="F60" s="191" t="str">
        <f>F31</f>
        <v>17:00</v>
      </c>
      <c r="G60" s="191" t="str">
        <f>G31</f>
        <v>18:00</v>
      </c>
      <c r="H60" s="191" t="str">
        <f>H31</f>
        <v>19:00</v>
      </c>
      <c r="I60" s="191" t="str">
        <f>I31</f>
        <v>20:00</v>
      </c>
      <c r="J60" s="191" t="str">
        <f>J31</f>
        <v>21:00</v>
      </c>
      <c r="K60" s="193"/>
    </row>
    <row r="61" spans="1:11" ht="39.950000000000003" customHeight="1">
      <c r="A61" s="192">
        <f>'concentrado nocturno'!A53</f>
        <v>301</v>
      </c>
      <c r="B61" s="192" t="str">
        <f>'concentrado nocturno'!B53</f>
        <v>521-9</v>
      </c>
      <c r="C61" s="192" t="str">
        <f>'concentrado nocturno'!C53</f>
        <v>Civil</v>
      </c>
      <c r="D61" s="192">
        <f>'concentrado nocturno'!D53</f>
        <v>0</v>
      </c>
      <c r="E61" s="192" t="str">
        <f>'concentrado nocturno'!E53</f>
        <v>S 102</v>
      </c>
      <c r="F61" s="192" t="str">
        <f>'concentrado nocturno'!F53</f>
        <v>S 102</v>
      </c>
      <c r="G61" s="192" t="str">
        <f>'concentrado nocturno'!G53</f>
        <v>A260</v>
      </c>
      <c r="H61" s="192" t="str">
        <f>'concentrado nocturno'!H53</f>
        <v>A260</v>
      </c>
      <c r="I61" s="192" t="str">
        <f>'concentrado nocturno'!I53</f>
        <v>A260</v>
      </c>
      <c r="J61" s="192">
        <f>'concentrado nocturno'!J53</f>
        <v>0</v>
      </c>
      <c r="K61" s="193"/>
    </row>
    <row r="62" spans="1:11" ht="39.950000000000003" customHeight="1">
      <c r="A62" s="236" t="str">
        <f>'concentrado nocturno'!A54</f>
        <v>301-A</v>
      </c>
      <c r="B62" s="192" t="str">
        <f>'concentrado nocturno'!B54</f>
        <v>521-9</v>
      </c>
      <c r="C62" s="192" t="str">
        <f>'concentrado nocturno'!C54</f>
        <v>Industrial</v>
      </c>
      <c r="D62" s="192">
        <f>'concentrado nocturno'!D54</f>
        <v>0</v>
      </c>
      <c r="E62" s="192" t="str">
        <f>'concentrado nocturno'!E54</f>
        <v>A95</v>
      </c>
      <c r="F62" s="192">
        <f>'concentrado nocturno'!F54</f>
        <v>2543</v>
      </c>
      <c r="G62" s="192" t="str">
        <f>'concentrado nocturno'!G54</f>
        <v>A184</v>
      </c>
      <c r="H62" s="192" t="str">
        <f>'concentrado nocturno'!H54</f>
        <v>A225</v>
      </c>
      <c r="I62" s="192" t="str">
        <f>'concentrado nocturno'!I54</f>
        <v>A225</v>
      </c>
      <c r="J62" s="192" t="str">
        <f>'concentrado nocturno'!J54</f>
        <v>2543 s313</v>
      </c>
      <c r="K62" s="193"/>
    </row>
    <row r="63" spans="1:11" ht="39.950000000000003" customHeight="1">
      <c r="A63" s="192">
        <f>'concentrado nocturno'!A55</f>
        <v>302</v>
      </c>
      <c r="B63" s="192" t="str">
        <f>'concentrado nocturno'!B55</f>
        <v>221-9</v>
      </c>
      <c r="C63" s="192" t="str">
        <f>'concentrado nocturno'!C55</f>
        <v>Psicologia</v>
      </c>
      <c r="D63" s="192">
        <f>'concentrado nocturno'!D55</f>
        <v>0</v>
      </c>
      <c r="E63" s="192" t="str">
        <f>'concentrado nocturno'!E55</f>
        <v>2543 sln101</v>
      </c>
      <c r="F63" s="192">
        <f>'concentrado nocturno'!F55</f>
        <v>2206</v>
      </c>
      <c r="G63" s="192">
        <f>'concentrado nocturno'!G55</f>
        <v>2023</v>
      </c>
      <c r="H63" s="192" t="str">
        <f>'concentrado nocturno'!H55</f>
        <v>2409 s207</v>
      </c>
      <c r="I63" s="192" t="str">
        <f>'concentrado nocturno'!I55</f>
        <v>2409 s207</v>
      </c>
      <c r="J63" s="192">
        <f>'concentrado nocturno'!J55</f>
        <v>0</v>
      </c>
      <c r="K63" s="193"/>
    </row>
    <row r="64" spans="1:11" ht="39.950000000000003" customHeight="1">
      <c r="A64" s="192">
        <f>'concentrado nocturno'!A56</f>
        <v>303</v>
      </c>
      <c r="B64" s="192" t="str">
        <f>'concentrado nocturno'!B56</f>
        <v>521-9</v>
      </c>
      <c r="C64" s="192" t="str">
        <f>'concentrado nocturno'!C56</f>
        <v>FINANZAS</v>
      </c>
      <c r="D64" s="192">
        <f>'concentrado nocturno'!D56</f>
        <v>0</v>
      </c>
      <c r="E64" s="192">
        <f>'concentrado nocturno'!E56</f>
        <v>0</v>
      </c>
      <c r="F64" s="192">
        <f>'concentrado nocturno'!F56</f>
        <v>0</v>
      </c>
      <c r="G64" s="192" t="str">
        <f>'concentrado nocturno'!G56</f>
        <v>1228 CC</v>
      </c>
      <c r="H64" s="192" t="str">
        <f>'concentrado nocturno'!H56</f>
        <v>1228 CC</v>
      </c>
      <c r="I64" s="192">
        <f>'concentrado nocturno'!I56</f>
        <v>1357</v>
      </c>
      <c r="J64" s="192">
        <f>'concentrado nocturno'!J56</f>
        <v>0</v>
      </c>
      <c r="K64" s="193"/>
    </row>
    <row r="65" spans="1:11" ht="39.950000000000003" customHeight="1">
      <c r="A65" s="192">
        <f>'concentrado nocturno'!A57</f>
        <v>304</v>
      </c>
      <c r="B65" s="192" t="str">
        <f>'concentrado nocturno'!B57</f>
        <v>1131-14</v>
      </c>
      <c r="C65" s="192" t="str">
        <f>'concentrado nocturno'!C57</f>
        <v>Electro</v>
      </c>
      <c r="D65" s="192">
        <f>'concentrado nocturno'!D57</f>
        <v>0</v>
      </c>
      <c r="E65" s="192">
        <f>'concentrado nocturno'!E57</f>
        <v>0</v>
      </c>
      <c r="F65" s="192">
        <f>'concentrado nocturno'!F57</f>
        <v>0</v>
      </c>
      <c r="G65" s="192">
        <f>'concentrado nocturno'!G57</f>
        <v>2095</v>
      </c>
      <c r="H65" s="192">
        <f>'concentrado nocturno'!H57</f>
        <v>2095</v>
      </c>
      <c r="I65" s="192">
        <f>'concentrado nocturno'!I57</f>
        <v>1534</v>
      </c>
      <c r="J65" s="192">
        <f>'concentrado nocturno'!J57</f>
        <v>1534</v>
      </c>
      <c r="K65" s="193"/>
    </row>
    <row r="66" spans="1:11" ht="39.950000000000003" customHeight="1">
      <c r="A66" s="192">
        <f>'concentrado nocturno'!A58</f>
        <v>305</v>
      </c>
      <c r="B66" s="192" t="str">
        <f>'concentrado nocturno'!B58</f>
        <v>221-9</v>
      </c>
      <c r="C66" s="192" t="str">
        <f>'concentrado nocturno'!C58</f>
        <v>Negocios</v>
      </c>
      <c r="D66" s="192">
        <f>'concentrado nocturno'!D58</f>
        <v>0</v>
      </c>
      <c r="E66" s="192">
        <f>'concentrado nocturno'!E58</f>
        <v>0</v>
      </c>
      <c r="F66" s="192" t="str">
        <f>'concentrado nocturno'!F58</f>
        <v>1228 CC</v>
      </c>
      <c r="G66" s="192" t="str">
        <f>'concentrado nocturno'!G58</f>
        <v>A68</v>
      </c>
      <c r="H66" s="192" t="str">
        <f>'concentrado nocturno'!H58</f>
        <v>A68</v>
      </c>
      <c r="I66" s="192">
        <f>'concentrado nocturno'!I58</f>
        <v>2023</v>
      </c>
      <c r="J66" s="192">
        <f>'concentrado nocturno'!J58</f>
        <v>0</v>
      </c>
      <c r="K66" s="193"/>
    </row>
    <row r="67" spans="1:11" ht="39.950000000000003" customHeight="1">
      <c r="A67" s="192">
        <f>'concentrado nocturno'!A59</f>
        <v>306</v>
      </c>
      <c r="B67" s="192">
        <f>'concentrado nocturno'!B59</f>
        <v>0</v>
      </c>
      <c r="C67" s="192">
        <f>'concentrado nocturno'!C59</f>
        <v>0</v>
      </c>
      <c r="D67" s="192" t="str">
        <f>'concentrado nocturno'!D59</f>
        <v>11AN</v>
      </c>
      <c r="E67" s="192">
        <f>'concentrado nocturno'!E59</f>
        <v>0</v>
      </c>
      <c r="F67" s="192">
        <f>'concentrado nocturno'!F59</f>
        <v>0</v>
      </c>
      <c r="G67" s="192">
        <f>'concentrado nocturno'!G59</f>
        <v>0</v>
      </c>
      <c r="H67" s="192">
        <f>'concentrado nocturno'!H59</f>
        <v>0</v>
      </c>
      <c r="I67" s="192">
        <f>'concentrado nocturno'!I59</f>
        <v>0</v>
      </c>
      <c r="J67" s="192">
        <f>'concentrado nocturno'!J59</f>
        <v>0</v>
      </c>
      <c r="K67" s="193"/>
    </row>
    <row r="68" spans="1:11" ht="39.950000000000003" customHeight="1">
      <c r="A68" s="192">
        <f>'concentrado nocturno'!A60</f>
        <v>307</v>
      </c>
      <c r="B68" s="192" t="str">
        <f>'concentrado nocturno'!B60</f>
        <v>231-14</v>
      </c>
      <c r="C68" s="192" t="str">
        <f>'concentrado nocturno'!C60</f>
        <v>Industrial</v>
      </c>
      <c r="D68" s="192">
        <f>'concentrado nocturno'!D60</f>
        <v>0</v>
      </c>
      <c r="E68" s="192">
        <f>'concentrado nocturno'!E60</f>
        <v>0</v>
      </c>
      <c r="F68" s="192">
        <f>'concentrado nocturno'!F60</f>
        <v>0</v>
      </c>
      <c r="G68" s="192">
        <f>'concentrado nocturno'!G60</f>
        <v>1153</v>
      </c>
      <c r="H68" s="192">
        <f>'concentrado nocturno'!H60</f>
        <v>765</v>
      </c>
      <c r="I68" s="192">
        <f>'concentrado nocturno'!I60</f>
        <v>765</v>
      </c>
      <c r="J68" s="192">
        <f>'concentrado nocturno'!J60</f>
        <v>0</v>
      </c>
      <c r="K68" s="193"/>
    </row>
    <row r="69" spans="1:11" ht="39.950000000000003" customHeight="1">
      <c r="A69" s="192">
        <f>'concentrado nocturno'!A61</f>
        <v>308</v>
      </c>
      <c r="B69" s="192" t="str">
        <f>'concentrado nocturno'!B61</f>
        <v>831-14</v>
      </c>
      <c r="C69" s="192" t="str">
        <f>'concentrado nocturno'!C61</f>
        <v>Civil</v>
      </c>
      <c r="D69" s="192">
        <f>'concentrado nocturno'!D61</f>
        <v>0</v>
      </c>
      <c r="E69" s="192">
        <f>'concentrado nocturno'!E61</f>
        <v>1602</v>
      </c>
      <c r="F69" s="192">
        <f>'concentrado nocturno'!F61</f>
        <v>1602</v>
      </c>
      <c r="G69" s="192">
        <f>'concentrado nocturno'!G61</f>
        <v>0</v>
      </c>
      <c r="H69" s="192" t="str">
        <f>'concentrado nocturno'!H61</f>
        <v>S 001</v>
      </c>
      <c r="I69" s="192">
        <f>'concentrado nocturno'!I61</f>
        <v>2401</v>
      </c>
      <c r="J69" s="192" t="str">
        <f>'concentrado nocturno'!J61</f>
        <v>A136</v>
      </c>
      <c r="K69" s="193"/>
    </row>
    <row r="70" spans="1:11" ht="39.950000000000003" customHeight="1">
      <c r="A70" s="192">
        <f>'concentrado nocturno'!A62</f>
        <v>309</v>
      </c>
      <c r="B70" s="192" t="str">
        <f>'concentrado nocturno'!B62</f>
        <v xml:space="preserve">731-13   </v>
      </c>
      <c r="C70" s="192" t="str">
        <f>'concentrado nocturno'!C62</f>
        <v>Industrial</v>
      </c>
      <c r="D70" s="192">
        <f>'concentrado nocturno'!D62</f>
        <v>0</v>
      </c>
      <c r="E70" s="192">
        <f>'concentrado nocturno'!E62</f>
        <v>0</v>
      </c>
      <c r="F70" s="192">
        <f>'concentrado nocturno'!F62</f>
        <v>0</v>
      </c>
      <c r="G70" s="192">
        <f>'concentrado nocturno'!G62</f>
        <v>0</v>
      </c>
      <c r="H70" s="192">
        <f>'concentrado nocturno'!H62</f>
        <v>2525</v>
      </c>
      <c r="I70" s="192" t="str">
        <f>'concentrado nocturno'!I62</f>
        <v>S. 313</v>
      </c>
      <c r="J70" s="192" t="str">
        <f>'concentrado nocturno'!J62</f>
        <v>S 313</v>
      </c>
      <c r="K70" s="193"/>
    </row>
    <row r="71" spans="1:11" ht="39.950000000000003" customHeight="1">
      <c r="A71" s="236" t="str">
        <f>'concentrado nocturno'!A63</f>
        <v>309-A</v>
      </c>
      <c r="B71" s="192" t="str">
        <f>'concentrado nocturno'!B63</f>
        <v>531-14</v>
      </c>
      <c r="C71" s="192" t="str">
        <f>'concentrado nocturno'!C63</f>
        <v>Psicologia</v>
      </c>
      <c r="D71" s="192" t="str">
        <f>'concentrado nocturno'!D63</f>
        <v>2AN</v>
      </c>
      <c r="E71" s="192">
        <f>'concentrado nocturno'!E63</f>
        <v>0</v>
      </c>
      <c r="F71" s="192">
        <f>'concentrado nocturno'!F63</f>
        <v>0</v>
      </c>
      <c r="G71" s="192">
        <f>'concentrado nocturno'!G63</f>
        <v>0</v>
      </c>
      <c r="H71" s="192" t="str">
        <f>'concentrado nocturno'!H63</f>
        <v>A121</v>
      </c>
      <c r="I71" s="192">
        <f>'concentrado nocturno'!I63</f>
        <v>2372</v>
      </c>
      <c r="J71" s="192">
        <f>'concentrado nocturno'!J63</f>
        <v>2372</v>
      </c>
      <c r="K71" s="193"/>
    </row>
    <row r="72" spans="1:11" ht="39.950000000000003" customHeight="1">
      <c r="A72" s="192">
        <f>'concentrado nocturno'!A64</f>
        <v>310</v>
      </c>
      <c r="B72" s="192">
        <f>'concentrado nocturno'!B64</f>
        <v>0</v>
      </c>
      <c r="C72" s="192">
        <f>'concentrado nocturno'!C64</f>
        <v>0</v>
      </c>
      <c r="D72" s="192">
        <f>'concentrado nocturno'!D64</f>
        <v>0</v>
      </c>
      <c r="E72" s="192">
        <f>'concentrado nocturno'!E64</f>
        <v>0</v>
      </c>
      <c r="F72" s="192">
        <f>'concentrado nocturno'!F64</f>
        <v>0</v>
      </c>
      <c r="G72" s="192">
        <f>'concentrado nocturno'!G64</f>
        <v>0</v>
      </c>
      <c r="H72" s="192">
        <f>'concentrado nocturno'!H64</f>
        <v>0</v>
      </c>
      <c r="I72" s="192">
        <f>'concentrado nocturno'!I64</f>
        <v>0</v>
      </c>
      <c r="J72" s="192">
        <f>'concentrado nocturno'!J64</f>
        <v>0</v>
      </c>
      <c r="K72" s="193"/>
    </row>
    <row r="73" spans="1:11" ht="39.950000000000003" customHeight="1">
      <c r="A73" s="192">
        <f>'concentrado nocturno'!A65</f>
        <v>311</v>
      </c>
      <c r="B73" s="192" t="str">
        <f>'concentrado nocturno'!B65</f>
        <v>431-13/531-14</v>
      </c>
      <c r="C73" s="192" t="str">
        <f>'concentrado nocturno'!C65</f>
        <v>Mecatronica</v>
      </c>
      <c r="D73" s="192">
        <f>'concentrado nocturno'!D65</f>
        <v>0</v>
      </c>
      <c r="E73" s="192">
        <f>'concentrado nocturno'!E65</f>
        <v>0</v>
      </c>
      <c r="F73" s="192">
        <f>'concentrado nocturno'!F65</f>
        <v>0</v>
      </c>
      <c r="G73" s="192">
        <f>'concentrado nocturno'!G65</f>
        <v>0</v>
      </c>
      <c r="H73" s="192">
        <f>'concentrado nocturno'!H65</f>
        <v>1602</v>
      </c>
      <c r="I73" s="192" t="str">
        <f>'concentrado nocturno'!I65</f>
        <v>A242</v>
      </c>
      <c r="J73" s="192" t="str">
        <f>'concentrado nocturno'!J65</f>
        <v>A242</v>
      </c>
      <c r="K73" s="193"/>
    </row>
    <row r="74" spans="1:11" ht="39.950000000000003" customHeight="1">
      <c r="A74" s="192">
        <f>'concentrado nocturno'!A66</f>
        <v>312</v>
      </c>
      <c r="B74" s="192" t="str">
        <f>'concentrado nocturno'!B66</f>
        <v>231-14</v>
      </c>
      <c r="C74" s="192" t="str">
        <f>'concentrado nocturno'!C66</f>
        <v>Mecatronica</v>
      </c>
      <c r="D74" s="192">
        <f>'concentrado nocturno'!D66</f>
        <v>0</v>
      </c>
      <c r="E74" s="192">
        <f>'concentrado nocturno'!E66</f>
        <v>0</v>
      </c>
      <c r="F74" s="192">
        <f>'concentrado nocturno'!F66</f>
        <v>2095</v>
      </c>
      <c r="G74" s="192" t="str">
        <f>'concentrado nocturno'!G66</f>
        <v>2387 CC</v>
      </c>
      <c r="H74" s="192" t="str">
        <f>'concentrado nocturno'!H66</f>
        <v>2387 CC</v>
      </c>
      <c r="I74" s="192">
        <f>'concentrado nocturno'!I66</f>
        <v>0</v>
      </c>
      <c r="J74" s="192">
        <f>'concentrado nocturno'!J66</f>
        <v>0</v>
      </c>
      <c r="K74" s="193"/>
    </row>
    <row r="75" spans="1:11" ht="39.950000000000003" customHeight="1">
      <c r="A75" s="192">
        <f>'concentrado nocturno'!A67</f>
        <v>313</v>
      </c>
      <c r="B75" s="192" t="str">
        <f>'concentrado nocturno'!B67</f>
        <v>731-13/831-14</v>
      </c>
      <c r="C75" s="192" t="str">
        <f>'concentrado nocturno'!C67</f>
        <v>Industrial</v>
      </c>
      <c r="D75" s="192" t="str">
        <f>'concentrado nocturno'!D67</f>
        <v>5AN</v>
      </c>
      <c r="E75" s="192">
        <f>'concentrado nocturno'!E67</f>
        <v>0</v>
      </c>
      <c r="F75" s="192">
        <f>'concentrado nocturno'!F67</f>
        <v>0</v>
      </c>
      <c r="G75" s="192">
        <f>'concentrado nocturno'!G67</f>
        <v>0</v>
      </c>
      <c r="H75" s="192" t="str">
        <f>'concentrado nocturno'!H67</f>
        <v>A103</v>
      </c>
      <c r="I75" s="192">
        <f>'concentrado nocturno'!I67</f>
        <v>964</v>
      </c>
      <c r="J75" s="192">
        <f>'concentrado nocturno'!J67</f>
        <v>2543</v>
      </c>
      <c r="K75" s="193"/>
    </row>
    <row r="76" spans="1:11" ht="39.950000000000003" customHeight="1">
      <c r="A76" s="192">
        <f>'concentrado nocturno'!A68</f>
        <v>314</v>
      </c>
      <c r="B76" s="192" t="str">
        <f>'concentrado nocturno'!B68</f>
        <v>1031-13/1131-14</v>
      </c>
      <c r="C76" s="192" t="str">
        <f>'concentrado nocturno'!C68</f>
        <v>Mecatronica</v>
      </c>
      <c r="D76" s="192">
        <f>'concentrado nocturno'!D68</f>
        <v>0</v>
      </c>
      <c r="E76" s="192">
        <f>'concentrado nocturno'!E68</f>
        <v>0</v>
      </c>
      <c r="F76" s="192">
        <f>'concentrado nocturno'!F68</f>
        <v>0</v>
      </c>
      <c r="G76" s="192">
        <f>'concentrado nocturno'!G68</f>
        <v>0</v>
      </c>
      <c r="H76" s="192">
        <f>'concentrado nocturno'!H68</f>
        <v>2453</v>
      </c>
      <c r="I76" s="192">
        <f>'concentrado nocturno'!I68</f>
        <v>2101</v>
      </c>
      <c r="J76" s="192">
        <f>'concentrado nocturno'!J68</f>
        <v>2101</v>
      </c>
      <c r="K76" s="193"/>
    </row>
    <row r="77" spans="1:11" ht="39.950000000000003" customHeight="1">
      <c r="A77" s="192">
        <f>'concentrado nocturno'!A69</f>
        <v>315</v>
      </c>
      <c r="B77" s="192" t="str">
        <f>'concentrado nocturno'!B69</f>
        <v>531-14</v>
      </c>
      <c r="C77" s="192" t="str">
        <f>'concentrado nocturno'!C69</f>
        <v>Industrial</v>
      </c>
      <c r="D77" s="192">
        <f>'concentrado nocturno'!D69</f>
        <v>0</v>
      </c>
      <c r="E77" s="192">
        <f>'concentrado nocturno'!E69</f>
        <v>0</v>
      </c>
      <c r="F77" s="192">
        <f>'concentrado nocturno'!F69</f>
        <v>0</v>
      </c>
      <c r="G77" s="192">
        <f>'concentrado nocturno'!G69</f>
        <v>0</v>
      </c>
      <c r="H77" s="192">
        <f>'concentrado nocturno'!H69</f>
        <v>2390</v>
      </c>
      <c r="I77" s="192">
        <f>'concentrado nocturno'!I69</f>
        <v>1579</v>
      </c>
      <c r="J77" s="192">
        <f>'concentrado nocturno'!J69</f>
        <v>1579</v>
      </c>
      <c r="K77" s="193"/>
    </row>
    <row r="78" spans="1:11" ht="39.950000000000003" customHeight="1">
      <c r="A78" s="192">
        <f>'concentrado nocturno'!A70</f>
        <v>316</v>
      </c>
      <c r="B78" s="192" t="str">
        <f>'concentrado nocturno'!B70</f>
        <v>231-14</v>
      </c>
      <c r="C78" s="192" t="str">
        <f>'concentrado nocturno'!C70</f>
        <v>FINANZAS</v>
      </c>
      <c r="D78" s="192">
        <f>'concentrado nocturno'!D70</f>
        <v>0</v>
      </c>
      <c r="E78" s="192">
        <f>'concentrado nocturno'!E70</f>
        <v>0</v>
      </c>
      <c r="F78" s="192">
        <f>'concentrado nocturno'!F70</f>
        <v>0</v>
      </c>
      <c r="G78" s="192">
        <f>'concentrado nocturno'!G70</f>
        <v>0</v>
      </c>
      <c r="H78" s="192" t="str">
        <f>'concentrado nocturno'!H70</f>
        <v>A96</v>
      </c>
      <c r="I78" s="192">
        <f>'concentrado nocturno'!I70</f>
        <v>1990</v>
      </c>
      <c r="J78" s="192">
        <f>'concentrado nocturno'!J70</f>
        <v>2448</v>
      </c>
      <c r="K78" s="193"/>
    </row>
    <row r="79" spans="1:11" ht="39.950000000000003" customHeight="1">
      <c r="A79" s="192">
        <f>'concentrado nocturno'!A71</f>
        <v>0</v>
      </c>
      <c r="B79" s="192">
        <f>'concentrado nocturno'!B71</f>
        <v>0</v>
      </c>
      <c r="C79" s="192">
        <f>'concentrado nocturno'!C71</f>
        <v>0</v>
      </c>
      <c r="D79" s="192">
        <f>'concentrado nocturno'!D71</f>
        <v>0</v>
      </c>
      <c r="E79" s="192">
        <f>'concentrado nocturno'!E71</f>
        <v>0</v>
      </c>
      <c r="F79" s="192">
        <f>'concentrado nocturno'!F71</f>
        <v>0</v>
      </c>
      <c r="G79" s="192">
        <f>'concentrado nocturno'!G71</f>
        <v>0</v>
      </c>
      <c r="H79" s="192">
        <f>'concentrado nocturno'!H71</f>
        <v>0</v>
      </c>
      <c r="I79" s="192">
        <f>'concentrado nocturno'!I71</f>
        <v>0</v>
      </c>
      <c r="J79" s="192">
        <f>'concentrado nocturno'!J71</f>
        <v>0</v>
      </c>
      <c r="K79" s="193"/>
    </row>
    <row r="80" spans="1:11" ht="39.950000000000003" customHeight="1">
      <c r="A80" s="183"/>
      <c r="B80" s="183"/>
      <c r="C80" s="183"/>
      <c r="D80" s="183"/>
      <c r="E80" s="183"/>
      <c r="F80" s="183"/>
      <c r="G80" s="203"/>
      <c r="H80" s="204"/>
      <c r="I80" s="193"/>
      <c r="J80" s="193"/>
      <c r="K80" s="193"/>
    </row>
    <row r="81" spans="1:11" ht="39.950000000000003" customHeight="1">
      <c r="A81" s="205"/>
      <c r="B81" s="205"/>
      <c r="C81" s="205"/>
      <c r="D81" s="205"/>
      <c r="E81" s="205"/>
      <c r="F81" s="205"/>
      <c r="G81" s="206"/>
      <c r="H81" s="207"/>
      <c r="I81" s="193"/>
      <c r="J81" s="193"/>
      <c r="K81" s="193"/>
    </row>
    <row r="82" spans="1:11" ht="39.950000000000003" customHeight="1">
      <c r="A82" s="388" t="str">
        <f>A57</f>
        <v>REGISTRO DIARIO DE INCIDENCIAS</v>
      </c>
      <c r="B82" s="389"/>
      <c r="C82" s="389"/>
      <c r="D82" s="389"/>
      <c r="E82" s="389"/>
      <c r="F82" s="389"/>
      <c r="G82" s="389"/>
      <c r="H82" s="389"/>
      <c r="I82" s="389"/>
      <c r="J82" s="390"/>
      <c r="K82" s="193"/>
    </row>
    <row r="83" spans="1:11" ht="39.950000000000003" customHeight="1">
      <c r="A83" s="391" t="str">
        <f>A58</f>
        <v>PERIODO ENERO- ABRIL 2026</v>
      </c>
      <c r="B83" s="392"/>
      <c r="C83" s="392"/>
      <c r="D83" s="392"/>
      <c r="E83" s="392"/>
      <c r="F83" s="392"/>
      <c r="G83" s="392"/>
      <c r="H83" s="392"/>
      <c r="I83" s="392"/>
      <c r="J83" s="393"/>
      <c r="K83" s="193"/>
    </row>
    <row r="84" spans="1:11" ht="39.950000000000003" customHeight="1">
      <c r="A84" s="394" t="str">
        <f>A30</f>
        <v>TURNOS: VESP Y NOCTURNO</v>
      </c>
      <c r="B84" s="395"/>
      <c r="C84" s="395"/>
      <c r="D84" s="396">
        <f>FECHAS!D9</f>
        <v>46084</v>
      </c>
      <c r="E84" s="396"/>
      <c r="F84" s="396"/>
      <c r="G84" s="395" t="str">
        <f>G59</f>
        <v xml:space="preserve">SEM 9 LIC </v>
      </c>
      <c r="H84" s="395"/>
      <c r="I84" s="395"/>
      <c r="J84" s="397"/>
      <c r="K84" s="193"/>
    </row>
    <row r="85" spans="1:11" ht="39.950000000000003" customHeight="1">
      <c r="A85" s="190" t="str">
        <f t="shared" ref="A85:J85" si="1">A60</f>
        <v>Aula</v>
      </c>
      <c r="B85" s="190" t="str">
        <f t="shared" si="1"/>
        <v>Gpo.</v>
      </c>
      <c r="C85" s="190" t="str">
        <f t="shared" si="1"/>
        <v>Licenciatura</v>
      </c>
      <c r="D85" s="190" t="str">
        <f t="shared" si="1"/>
        <v>Op</v>
      </c>
      <c r="E85" s="190" t="str">
        <f t="shared" si="1"/>
        <v>16:00</v>
      </c>
      <c r="F85" s="190" t="str">
        <f t="shared" si="1"/>
        <v>17:00</v>
      </c>
      <c r="G85" s="190" t="str">
        <f t="shared" si="1"/>
        <v>18:00</v>
      </c>
      <c r="H85" s="190" t="str">
        <f t="shared" si="1"/>
        <v>19:00</v>
      </c>
      <c r="I85" s="190" t="str">
        <f t="shared" si="1"/>
        <v>20:00</v>
      </c>
      <c r="J85" s="190" t="str">
        <f t="shared" si="1"/>
        <v>21:00</v>
      </c>
      <c r="K85" s="193"/>
    </row>
    <row r="86" spans="1:11" ht="39.950000000000003" customHeight="1">
      <c r="A86" s="208" t="str">
        <f t="shared" ref="A86:D107" si="2">A5</f>
        <v>CC1</v>
      </c>
      <c r="B86" s="208">
        <f t="shared" si="2"/>
        <v>0</v>
      </c>
      <c r="C86" s="208">
        <f t="shared" si="2"/>
        <v>0</v>
      </c>
      <c r="D86" s="208">
        <f t="shared" si="2"/>
        <v>0</v>
      </c>
      <c r="E86" s="209">
        <f>'concentrado nocturno'!K6</f>
        <v>1094</v>
      </c>
      <c r="F86" s="209">
        <f>'concentrado nocturno'!L6</f>
        <v>1094</v>
      </c>
      <c r="G86" s="209">
        <f>'concentrado nocturno'!M6</f>
        <v>0</v>
      </c>
      <c r="H86" s="209">
        <f>'concentrado nocturno'!N6</f>
        <v>0</v>
      </c>
      <c r="I86" s="209">
        <f>'concentrado nocturno'!O6</f>
        <v>0</v>
      </c>
      <c r="J86" s="209">
        <f>'concentrado nocturno'!P6</f>
        <v>634</v>
      </c>
      <c r="K86" s="193"/>
    </row>
    <row r="87" spans="1:11" ht="39.950000000000003" customHeight="1">
      <c r="A87" s="208" t="str">
        <f t="shared" si="2"/>
        <v>CC2</v>
      </c>
      <c r="B87" s="208">
        <f t="shared" si="2"/>
        <v>0</v>
      </c>
      <c r="C87" s="208">
        <f t="shared" si="2"/>
        <v>0</v>
      </c>
      <c r="D87" s="208">
        <f t="shared" si="2"/>
        <v>0</v>
      </c>
      <c r="E87" s="209">
        <f>'concentrado nocturno'!K7</f>
        <v>0</v>
      </c>
      <c r="F87" s="209">
        <f>'concentrado nocturno'!L7</f>
        <v>1035</v>
      </c>
      <c r="G87" s="209">
        <f>'concentrado nocturno'!M7</f>
        <v>1035</v>
      </c>
      <c r="H87" s="209">
        <f>'concentrado nocturno'!N7</f>
        <v>0</v>
      </c>
      <c r="I87" s="209">
        <f>'concentrado nocturno'!O7</f>
        <v>0</v>
      </c>
      <c r="J87" s="209">
        <f>'concentrado nocturno'!P7</f>
        <v>0</v>
      </c>
      <c r="K87" s="193"/>
    </row>
    <row r="88" spans="1:11" ht="39.950000000000003" customHeight="1">
      <c r="A88" s="208" t="str">
        <f t="shared" si="2"/>
        <v>CC3</v>
      </c>
      <c r="B88" s="208">
        <f t="shared" si="2"/>
        <v>0</v>
      </c>
      <c r="C88" s="208">
        <f t="shared" si="2"/>
        <v>0</v>
      </c>
      <c r="D88" s="208">
        <f t="shared" si="2"/>
        <v>0</v>
      </c>
      <c r="E88" s="209">
        <f>'concentrado nocturno'!K8</f>
        <v>0</v>
      </c>
      <c r="F88" s="209">
        <f>'concentrado nocturno'!L8</f>
        <v>2387</v>
      </c>
      <c r="G88" s="209">
        <f>'concentrado nocturno'!M8</f>
        <v>0</v>
      </c>
      <c r="H88" s="209">
        <f>'concentrado nocturno'!N8</f>
        <v>0</v>
      </c>
      <c r="I88" s="209">
        <f>'concentrado nocturno'!O8</f>
        <v>0</v>
      </c>
      <c r="J88" s="209">
        <f>'concentrado nocturno'!P8</f>
        <v>0</v>
      </c>
      <c r="K88" s="193"/>
    </row>
    <row r="89" spans="1:11" ht="39.950000000000003" customHeight="1">
      <c r="A89" s="208" t="str">
        <f t="shared" si="2"/>
        <v>CC4</v>
      </c>
      <c r="B89" s="208">
        <f t="shared" si="2"/>
        <v>0</v>
      </c>
      <c r="C89" s="208">
        <f t="shared" si="2"/>
        <v>0</v>
      </c>
      <c r="D89" s="208">
        <f t="shared" si="2"/>
        <v>0</v>
      </c>
      <c r="E89" s="209">
        <f>'concentrado nocturno'!K9</f>
        <v>0</v>
      </c>
      <c r="F89" s="209">
        <f>'concentrado nocturno'!L9</f>
        <v>0</v>
      </c>
      <c r="G89" s="209">
        <f>'concentrado nocturno'!M9</f>
        <v>1534</v>
      </c>
      <c r="H89" s="209">
        <f>'concentrado nocturno'!N9</f>
        <v>2448</v>
      </c>
      <c r="I89" s="209">
        <f>'concentrado nocturno'!O9</f>
        <v>2448</v>
      </c>
      <c r="J89" s="209">
        <f>'concentrado nocturno'!P9</f>
        <v>0</v>
      </c>
      <c r="K89" s="193"/>
    </row>
    <row r="90" spans="1:11" ht="39.950000000000003" customHeight="1">
      <c r="A90" s="208" t="str">
        <f t="shared" si="2"/>
        <v>CC5</v>
      </c>
      <c r="B90" s="208">
        <f t="shared" si="2"/>
        <v>0</v>
      </c>
      <c r="C90" s="208">
        <f t="shared" si="2"/>
        <v>0</v>
      </c>
      <c r="D90" s="208">
        <f t="shared" si="2"/>
        <v>0</v>
      </c>
      <c r="E90" s="209">
        <f>'concentrado nocturno'!K10</f>
        <v>436</v>
      </c>
      <c r="F90" s="209">
        <f>'concentrado nocturno'!L10</f>
        <v>0</v>
      </c>
      <c r="G90" s="209">
        <f>'concentrado nocturno'!M10</f>
        <v>0</v>
      </c>
      <c r="H90" s="209">
        <f>'concentrado nocturno'!N10</f>
        <v>0</v>
      </c>
      <c r="I90" s="209">
        <f>'concentrado nocturno'!O10</f>
        <v>1836</v>
      </c>
      <c r="J90" s="209">
        <f>'concentrado nocturno'!P10</f>
        <v>1836</v>
      </c>
      <c r="K90" s="193"/>
    </row>
    <row r="91" spans="1:11" ht="39.950000000000003" customHeight="1">
      <c r="A91" s="208">
        <f t="shared" si="2"/>
        <v>1</v>
      </c>
      <c r="B91" s="208" t="str">
        <f t="shared" si="2"/>
        <v>421-13/521-14</v>
      </c>
      <c r="C91" s="208" t="str">
        <f t="shared" si="2"/>
        <v>Psicologia</v>
      </c>
      <c r="D91" s="208" t="str">
        <f t="shared" si="2"/>
        <v>11DV, 8AN, 5BN</v>
      </c>
      <c r="E91" s="209">
        <f>'concentrado nocturno'!K11</f>
        <v>1567</v>
      </c>
      <c r="F91" s="209" t="str">
        <f>'concentrado nocturno'!L11</f>
        <v>A133</v>
      </c>
      <c r="G91" s="209" t="str">
        <f>'concentrado nocturno'!M11</f>
        <v>A133</v>
      </c>
      <c r="H91" s="209">
        <f>'concentrado nocturno'!N11</f>
        <v>2336</v>
      </c>
      <c r="I91" s="209">
        <f>'concentrado nocturno'!O11</f>
        <v>2336</v>
      </c>
      <c r="J91" s="209">
        <f>'concentrado nocturno'!P11</f>
        <v>0</v>
      </c>
      <c r="K91" s="193"/>
    </row>
    <row r="92" spans="1:11" ht="39.950000000000003" customHeight="1">
      <c r="A92" s="208">
        <f t="shared" si="2"/>
        <v>2</v>
      </c>
      <c r="B92" s="208" t="str">
        <f t="shared" si="2"/>
        <v>721-8-821-9</v>
      </c>
      <c r="C92" s="208" t="str">
        <f t="shared" si="2"/>
        <v>Psicologia</v>
      </c>
      <c r="D92" s="208">
        <f t="shared" si="2"/>
        <v>0</v>
      </c>
      <c r="E92" s="209">
        <f>'concentrado nocturno'!K12</f>
        <v>2396</v>
      </c>
      <c r="F92" s="209">
        <f>'concentrado nocturno'!L12</f>
        <v>2468</v>
      </c>
      <c r="G92" s="209">
        <f>'concentrado nocturno'!M12</f>
        <v>2468</v>
      </c>
      <c r="H92" s="209">
        <f>'concentrado nocturno'!N12</f>
        <v>382</v>
      </c>
      <c r="I92" s="209">
        <f>'concentrado nocturno'!O12</f>
        <v>634</v>
      </c>
      <c r="J92" s="209">
        <f>'concentrado nocturno'!P12</f>
        <v>0</v>
      </c>
      <c r="K92" s="193"/>
    </row>
    <row r="93" spans="1:11" ht="39.950000000000003" customHeight="1">
      <c r="A93" s="208">
        <f t="shared" si="2"/>
        <v>2</v>
      </c>
      <c r="B93" s="208" t="str">
        <f t="shared" si="2"/>
        <v>421-13/521-14</v>
      </c>
      <c r="C93" s="208" t="str">
        <f t="shared" si="2"/>
        <v>Compu</v>
      </c>
      <c r="D93" s="208">
        <f t="shared" si="2"/>
        <v>0</v>
      </c>
      <c r="E93" s="209" t="str">
        <f>'concentrado nocturno'!K13</f>
        <v>436 CC</v>
      </c>
      <c r="F93" s="209">
        <f>'concentrado nocturno'!L13</f>
        <v>0</v>
      </c>
      <c r="G93" s="209">
        <f>'concentrado nocturno'!M13</f>
        <v>0</v>
      </c>
      <c r="H93" s="209">
        <f>'concentrado nocturno'!N13</f>
        <v>0</v>
      </c>
      <c r="I93" s="209">
        <f>'concentrado nocturno'!O13</f>
        <v>0</v>
      </c>
      <c r="J93" s="209" t="str">
        <f>'concentrado nocturno'!P13</f>
        <v>A263</v>
      </c>
      <c r="K93" s="193"/>
    </row>
    <row r="94" spans="1:11" ht="39.950000000000003" customHeight="1">
      <c r="A94" s="208">
        <f t="shared" si="2"/>
        <v>3</v>
      </c>
      <c r="B94" s="208" t="str">
        <f t="shared" si="2"/>
        <v>221-14</v>
      </c>
      <c r="C94" s="208" t="str">
        <f t="shared" si="2"/>
        <v>Psicologia</v>
      </c>
      <c r="D94" s="208" t="str">
        <f t="shared" si="2"/>
        <v>8CN</v>
      </c>
      <c r="E94" s="209">
        <f>'concentrado nocturno'!K14</f>
        <v>2325</v>
      </c>
      <c r="F94" s="209">
        <f>'concentrado nocturno'!L14</f>
        <v>2396</v>
      </c>
      <c r="G94" s="209">
        <f>'concentrado nocturno'!M14</f>
        <v>1602</v>
      </c>
      <c r="H94" s="209">
        <f>'concentrado nocturno'!N14</f>
        <v>1435</v>
      </c>
      <c r="I94" s="209">
        <f>'concentrado nocturno'!O14</f>
        <v>1435</v>
      </c>
      <c r="J94" s="209">
        <f>'concentrado nocturno'!P14</f>
        <v>0</v>
      </c>
      <c r="K94" s="193"/>
    </row>
    <row r="95" spans="1:11" ht="39.950000000000003" customHeight="1">
      <c r="A95" s="208">
        <f t="shared" si="2"/>
        <v>3</v>
      </c>
      <c r="B95" s="208" t="str">
        <f t="shared" si="2"/>
        <v>1031-13/1131-14</v>
      </c>
      <c r="C95" s="208" t="str">
        <f t="shared" si="2"/>
        <v>Psicologia</v>
      </c>
      <c r="D95" s="208">
        <f t="shared" si="2"/>
        <v>0</v>
      </c>
      <c r="E95" s="209">
        <f>'concentrado nocturno'!K15</f>
        <v>0</v>
      </c>
      <c r="F95" s="209">
        <f>'concentrado nocturno'!L15</f>
        <v>0</v>
      </c>
      <c r="G95" s="209">
        <f>'concentrado nocturno'!M15</f>
        <v>0</v>
      </c>
      <c r="H95" s="209">
        <f>'concentrado nocturno'!N15</f>
        <v>0</v>
      </c>
      <c r="I95" s="209">
        <f>'concentrado nocturno'!O15</f>
        <v>0</v>
      </c>
      <c r="J95" s="209">
        <f>'concentrado nocturno'!P15</f>
        <v>0</v>
      </c>
      <c r="K95" s="193"/>
    </row>
    <row r="96" spans="1:11" ht="39.950000000000003" customHeight="1">
      <c r="A96" s="208">
        <f t="shared" si="2"/>
        <v>4</v>
      </c>
      <c r="B96" s="208" t="str">
        <f t="shared" si="2"/>
        <v>531-14</v>
      </c>
      <c r="C96" s="208" t="str">
        <f t="shared" si="2"/>
        <v>FINANZAS</v>
      </c>
      <c r="D96" s="208">
        <f t="shared" si="2"/>
        <v>0</v>
      </c>
      <c r="E96" s="209">
        <f>'concentrado nocturno'!K16</f>
        <v>0</v>
      </c>
      <c r="F96" s="209">
        <f>'concentrado nocturno'!L16</f>
        <v>0</v>
      </c>
      <c r="G96" s="209">
        <f>'concentrado nocturno'!M16</f>
        <v>0</v>
      </c>
      <c r="H96" s="209" t="str">
        <f>'concentrado nocturno'!N16</f>
        <v>2476 s306</v>
      </c>
      <c r="I96" s="209" t="str">
        <f>'concentrado nocturno'!O16</f>
        <v>2476 s306</v>
      </c>
      <c r="J96" s="209" t="str">
        <f>'concentrado nocturno'!P16</f>
        <v>1836 cc</v>
      </c>
      <c r="K96" s="193"/>
    </row>
    <row r="97" spans="1:11" ht="39.950000000000003" customHeight="1">
      <c r="A97" s="208">
        <f t="shared" si="2"/>
        <v>4</v>
      </c>
      <c r="B97" s="208" t="str">
        <f t="shared" si="2"/>
        <v>821-14</v>
      </c>
      <c r="C97" s="208" t="str">
        <f t="shared" si="2"/>
        <v>Psicologia</v>
      </c>
      <c r="D97" s="208">
        <f t="shared" si="2"/>
        <v>0</v>
      </c>
      <c r="E97" s="209" t="str">
        <f>'concentrado nocturno'!K17</f>
        <v>A99</v>
      </c>
      <c r="F97" s="209">
        <f>'concentrado nocturno'!L17</f>
        <v>1456</v>
      </c>
      <c r="G97" s="209">
        <f>'concentrado nocturno'!M17</f>
        <v>1303</v>
      </c>
      <c r="H97" s="209">
        <f>'concentrado nocturno'!N17</f>
        <v>0</v>
      </c>
      <c r="I97" s="209">
        <f>'concentrado nocturno'!O17</f>
        <v>0</v>
      </c>
      <c r="J97" s="209">
        <f>'concentrado nocturno'!P17</f>
        <v>0</v>
      </c>
      <c r="K97" s="193"/>
    </row>
    <row r="98" spans="1:11" ht="39.950000000000003" customHeight="1">
      <c r="A98" s="208">
        <f t="shared" si="2"/>
        <v>5</v>
      </c>
      <c r="B98" s="208" t="str">
        <f t="shared" si="2"/>
        <v>721-8/821-9</v>
      </c>
      <c r="C98" s="208" t="str">
        <f t="shared" si="2"/>
        <v>Civil</v>
      </c>
      <c r="D98" s="208" t="str">
        <f t="shared" si="2"/>
        <v>2BV</v>
      </c>
      <c r="E98" s="209">
        <f>'concentrado nocturno'!K18</f>
        <v>1384</v>
      </c>
      <c r="F98" s="209">
        <f>'concentrado nocturno'!L18</f>
        <v>2395</v>
      </c>
      <c r="G98" s="209">
        <f>'concentrado nocturno'!M18</f>
        <v>2395</v>
      </c>
      <c r="H98" s="209" t="str">
        <f>'concentrado nocturno'!N18</f>
        <v>GEVA</v>
      </c>
      <c r="I98" s="209">
        <f>'concentrado nocturno'!O18</f>
        <v>2401</v>
      </c>
      <c r="J98" s="209">
        <f>'concentrado nocturno'!P18</f>
        <v>2401</v>
      </c>
      <c r="K98" s="193"/>
    </row>
    <row r="99" spans="1:11" ht="39.950000000000003" customHeight="1">
      <c r="A99" s="208">
        <f t="shared" si="2"/>
        <v>7</v>
      </c>
      <c r="B99" s="208" t="str">
        <f t="shared" si="2"/>
        <v>721-8/821-9</v>
      </c>
      <c r="C99" s="208" t="str">
        <f t="shared" si="2"/>
        <v>FINANZAS</v>
      </c>
      <c r="D99" s="208">
        <f t="shared" si="2"/>
        <v>0</v>
      </c>
      <c r="E99" s="209" t="str">
        <f>'concentrado nocturno'!K19</f>
        <v>A228</v>
      </c>
      <c r="F99" s="209">
        <f>'concentrado nocturno'!L19</f>
        <v>160</v>
      </c>
      <c r="G99" s="209">
        <f>'concentrado nocturno'!M19</f>
        <v>160</v>
      </c>
      <c r="H99" s="209" t="str">
        <f>'concentrado nocturno'!N19</f>
        <v>2448 CC</v>
      </c>
      <c r="I99" s="209" t="str">
        <f>'concentrado nocturno'!O19</f>
        <v>2448 CC</v>
      </c>
      <c r="J99" s="209">
        <f>'concentrado nocturno'!P19</f>
        <v>0</v>
      </c>
      <c r="K99" s="193"/>
    </row>
    <row r="100" spans="1:11" ht="39.950000000000003" customHeight="1">
      <c r="A100" s="208">
        <f t="shared" si="2"/>
        <v>8</v>
      </c>
      <c r="B100" s="208" t="str">
        <f t="shared" si="2"/>
        <v>821-9</v>
      </c>
      <c r="C100" s="208" t="str">
        <f t="shared" si="2"/>
        <v>Negocios</v>
      </c>
      <c r="D100" s="208" t="str">
        <f t="shared" si="2"/>
        <v>2AV</v>
      </c>
      <c r="E100" s="209" t="str">
        <f>'concentrado nocturno'!K20</f>
        <v>A234</v>
      </c>
      <c r="F100" s="209" t="str">
        <f>'concentrado nocturno'!L20</f>
        <v>A36</v>
      </c>
      <c r="G100" s="209" t="str">
        <f>'concentrado nocturno'!M20</f>
        <v>A36</v>
      </c>
      <c r="H100" s="209" t="str">
        <f>'concentrado nocturno'!N20</f>
        <v>A55</v>
      </c>
      <c r="I100" s="209" t="str">
        <f>'concentrado nocturno'!O20</f>
        <v>A55</v>
      </c>
      <c r="J100" s="209">
        <f>'concentrado nocturno'!P20</f>
        <v>0</v>
      </c>
      <c r="K100" s="193"/>
    </row>
    <row r="101" spans="1:11" ht="39.950000000000003" customHeight="1">
      <c r="A101" s="208">
        <f t="shared" si="2"/>
        <v>9</v>
      </c>
      <c r="B101" s="208" t="str">
        <f t="shared" si="2"/>
        <v>221-9</v>
      </c>
      <c r="C101" s="208" t="str">
        <f t="shared" si="2"/>
        <v>FINANZAS</v>
      </c>
      <c r="D101" s="208" t="str">
        <f t="shared" si="2"/>
        <v>5DV</v>
      </c>
      <c r="E101" s="209">
        <f>'concentrado nocturno'!K21</f>
        <v>1990</v>
      </c>
      <c r="F101" s="209">
        <f>'concentrado nocturno'!L21</f>
        <v>2451</v>
      </c>
      <c r="G101" s="209">
        <f>'concentrado nocturno'!M21</f>
        <v>2451</v>
      </c>
      <c r="H101" s="209" t="str">
        <f>'concentrado nocturno'!N21</f>
        <v>A99</v>
      </c>
      <c r="I101" s="209" t="str">
        <f>'concentrado nocturno'!O21</f>
        <v>1836 CC</v>
      </c>
      <c r="J101" s="209">
        <f>'concentrado nocturno'!P21</f>
        <v>0</v>
      </c>
      <c r="K101" s="193"/>
    </row>
    <row r="102" spans="1:11" ht="39.950000000000003" customHeight="1">
      <c r="A102" s="208">
        <f t="shared" si="2"/>
        <v>101</v>
      </c>
      <c r="B102" s="208" t="str">
        <f t="shared" si="2"/>
        <v>221-9</v>
      </c>
      <c r="C102" s="208" t="str">
        <f t="shared" si="2"/>
        <v>Civil</v>
      </c>
      <c r="D102" s="208" t="str">
        <f t="shared" si="2"/>
        <v>2CV</v>
      </c>
      <c r="E102" s="209" t="str">
        <f>'concentrado nocturno'!K22</f>
        <v>A141</v>
      </c>
      <c r="F102" s="209" t="str">
        <f>'concentrado nocturno'!L22</f>
        <v>A78</v>
      </c>
      <c r="G102" s="209" t="str">
        <f>'concentrado nocturno'!M22</f>
        <v>A78</v>
      </c>
      <c r="H102" s="209" t="str">
        <f>'concentrado nocturno'!N22</f>
        <v>A136</v>
      </c>
      <c r="I102" s="209" t="str">
        <f>'concentrado nocturno'!O22</f>
        <v>A200</v>
      </c>
      <c r="J102" s="209">
        <f>'concentrado nocturno'!P22</f>
        <v>0</v>
      </c>
      <c r="K102" s="193"/>
    </row>
    <row r="103" spans="1:11" ht="39.950000000000003" customHeight="1">
      <c r="A103" s="208">
        <f t="shared" si="2"/>
        <v>102</v>
      </c>
      <c r="B103" s="208" t="str">
        <f t="shared" si="2"/>
        <v>531-14</v>
      </c>
      <c r="C103" s="208" t="str">
        <f t="shared" si="2"/>
        <v>Civil</v>
      </c>
      <c r="D103" s="208">
        <f t="shared" si="2"/>
        <v>0</v>
      </c>
      <c r="E103" s="209">
        <f>'concentrado nocturno'!K23</f>
        <v>0</v>
      </c>
      <c r="F103" s="209">
        <f>'concentrado nocturno'!L23</f>
        <v>0</v>
      </c>
      <c r="G103" s="209">
        <f>'concentrado nocturno'!M23</f>
        <v>0</v>
      </c>
      <c r="H103" s="209">
        <f>'concentrado nocturno'!N23</f>
        <v>0</v>
      </c>
      <c r="I103" s="209">
        <f>'concentrado nocturno'!O23</f>
        <v>0</v>
      </c>
      <c r="J103" s="209" t="str">
        <f>'concentrado nocturno'!P23</f>
        <v>A43</v>
      </c>
      <c r="K103" s="193"/>
    </row>
    <row r="104" spans="1:11" ht="39.950000000000003" customHeight="1">
      <c r="A104" s="208">
        <f t="shared" si="2"/>
        <v>102</v>
      </c>
      <c r="B104" s="208" t="str">
        <f t="shared" si="2"/>
        <v>521-14</v>
      </c>
      <c r="C104" s="208" t="str">
        <f t="shared" si="2"/>
        <v>Civil</v>
      </c>
      <c r="D104" s="208" t="str">
        <f t="shared" si="2"/>
        <v>8BV, 5CN</v>
      </c>
      <c r="E104" s="209">
        <f>'concentrado nocturno'!K24</f>
        <v>1887</v>
      </c>
      <c r="F104" s="209">
        <f>'concentrado nocturno'!L24</f>
        <v>2336</v>
      </c>
      <c r="G104" s="209">
        <f>'concentrado nocturno'!M24</f>
        <v>2336</v>
      </c>
      <c r="H104" s="209" t="str">
        <f>'concentrado nocturno'!N24</f>
        <v>A78</v>
      </c>
      <c r="I104" s="209" t="str">
        <f>'concentrado nocturno'!O24</f>
        <v>A78</v>
      </c>
      <c r="J104" s="209">
        <f>'concentrado nocturno'!P24</f>
        <v>0</v>
      </c>
      <c r="K104" s="193"/>
    </row>
    <row r="105" spans="1:11" ht="39.950000000000003" customHeight="1">
      <c r="A105" s="208">
        <f t="shared" si="2"/>
        <v>103</v>
      </c>
      <c r="B105" s="208" t="str">
        <f t="shared" si="2"/>
        <v>821-14</v>
      </c>
      <c r="C105" s="208" t="str">
        <f t="shared" si="2"/>
        <v>Civil</v>
      </c>
      <c r="D105" s="208" t="str">
        <f t="shared" si="2"/>
        <v>5AV, 8BN</v>
      </c>
      <c r="E105" s="209">
        <f>'concentrado nocturno'!K25</f>
        <v>1152</v>
      </c>
      <c r="F105" s="209">
        <f>'concentrado nocturno'!L25</f>
        <v>1152</v>
      </c>
      <c r="G105" s="209" t="str">
        <f>'concentrado nocturno'!M25</f>
        <v>A136</v>
      </c>
      <c r="H105" s="209">
        <f>'concentrado nocturno'!N25</f>
        <v>2468</v>
      </c>
      <c r="I105" s="209">
        <f>'concentrado nocturno'!O25</f>
        <v>2468</v>
      </c>
      <c r="J105" s="209">
        <f>'concentrado nocturno'!P25</f>
        <v>0</v>
      </c>
      <c r="K105" s="193"/>
    </row>
    <row r="106" spans="1:11" ht="39.950000000000003" customHeight="1">
      <c r="A106" s="208">
        <f t="shared" si="2"/>
        <v>103</v>
      </c>
      <c r="B106" s="208" t="str">
        <f t="shared" si="2"/>
        <v>1131-14</v>
      </c>
      <c r="C106" s="208" t="str">
        <f t="shared" si="2"/>
        <v>Civil</v>
      </c>
      <c r="D106" s="208">
        <f t="shared" si="2"/>
        <v>0</v>
      </c>
      <c r="E106" s="209">
        <f>'concentrado nocturno'!K26</f>
        <v>0</v>
      </c>
      <c r="F106" s="209">
        <f>'concentrado nocturno'!L26</f>
        <v>0</v>
      </c>
      <c r="G106" s="209">
        <f>'concentrado nocturno'!M26</f>
        <v>0</v>
      </c>
      <c r="H106" s="209">
        <f>'concentrado nocturno'!N26</f>
        <v>0</v>
      </c>
      <c r="I106" s="209">
        <f>'concentrado nocturno'!O26</f>
        <v>0</v>
      </c>
      <c r="J106" s="209" t="str">
        <f>'concentrado nocturno'!P26</f>
        <v>A200</v>
      </c>
      <c r="K106" s="193"/>
    </row>
    <row r="107" spans="1:11" ht="39.950000000000003" customHeight="1">
      <c r="A107" s="208">
        <f t="shared" si="2"/>
        <v>104</v>
      </c>
      <c r="B107" s="208" t="str">
        <f t="shared" si="2"/>
        <v>521-9</v>
      </c>
      <c r="C107" s="208" t="str">
        <f t="shared" si="2"/>
        <v>Negocios</v>
      </c>
      <c r="D107" s="208" t="str">
        <f t="shared" si="2"/>
        <v>8DV</v>
      </c>
      <c r="E107" s="209" t="str">
        <f>'concentrado nocturno'!K27</f>
        <v>A244</v>
      </c>
      <c r="F107" s="209" t="str">
        <f>'concentrado nocturno'!L27</f>
        <v>A244</v>
      </c>
      <c r="G107" s="209">
        <f>'concentrado nocturno'!M27</f>
        <v>0</v>
      </c>
      <c r="H107" s="209" t="str">
        <f>'concentrado nocturno'!N27</f>
        <v>A198</v>
      </c>
      <c r="I107" s="209">
        <f>'concentrado nocturno'!O27</f>
        <v>2166</v>
      </c>
      <c r="J107" s="209">
        <f>'concentrado nocturno'!P27</f>
        <v>0</v>
      </c>
      <c r="K107" s="193"/>
    </row>
    <row r="108" spans="1:11" ht="39.950000000000003" customHeight="1">
      <c r="A108" s="401"/>
      <c r="B108" s="386"/>
      <c r="C108" s="386"/>
      <c r="D108" s="386"/>
      <c r="E108" s="386"/>
      <c r="F108" s="386"/>
      <c r="G108" s="386"/>
      <c r="H108" s="387"/>
      <c r="I108" s="193"/>
      <c r="J108" s="193"/>
      <c r="K108" s="193"/>
    </row>
    <row r="109" spans="1:11" ht="39.950000000000003" customHeight="1">
      <c r="A109" s="388" t="str">
        <f>A82</f>
        <v>REGISTRO DIARIO DE INCIDENCIAS</v>
      </c>
      <c r="B109" s="389"/>
      <c r="C109" s="389"/>
      <c r="D109" s="389"/>
      <c r="E109" s="389"/>
      <c r="F109" s="389"/>
      <c r="G109" s="389"/>
      <c r="H109" s="389"/>
      <c r="I109" s="389"/>
      <c r="J109" s="390"/>
      <c r="K109" s="193"/>
    </row>
    <row r="110" spans="1:11" ht="39.950000000000003" customHeight="1">
      <c r="A110" s="391" t="str">
        <f>A83</f>
        <v>PERIODO ENERO- ABRIL 2026</v>
      </c>
      <c r="B110" s="392"/>
      <c r="C110" s="392"/>
      <c r="D110" s="392"/>
      <c r="E110" s="392"/>
      <c r="F110" s="392"/>
      <c r="G110" s="392"/>
      <c r="H110" s="392"/>
      <c r="I110" s="392"/>
      <c r="J110" s="393"/>
      <c r="K110" s="193"/>
    </row>
    <row r="111" spans="1:11" ht="39.950000000000003" customHeight="1">
      <c r="A111" s="394" t="str">
        <f>A84</f>
        <v>TURNOS: VESP Y NOCTURNO</v>
      </c>
      <c r="B111" s="395"/>
      <c r="C111" s="395"/>
      <c r="D111" s="396">
        <f>D84</f>
        <v>46084</v>
      </c>
      <c r="E111" s="396"/>
      <c r="F111" s="396"/>
      <c r="G111" s="395" t="str">
        <f>G84</f>
        <v xml:space="preserve">SEM 9 LIC </v>
      </c>
      <c r="H111" s="395"/>
      <c r="I111" s="395"/>
      <c r="J111" s="397"/>
      <c r="K111" s="193"/>
    </row>
    <row r="112" spans="1:11" ht="39.950000000000003" customHeight="1">
      <c r="A112" s="190" t="str">
        <f t="shared" ref="A112:J112" si="3">A85</f>
        <v>Aula</v>
      </c>
      <c r="B112" s="190" t="str">
        <f t="shared" si="3"/>
        <v>Gpo.</v>
      </c>
      <c r="C112" s="190" t="str">
        <f t="shared" si="3"/>
        <v>Licenciatura</v>
      </c>
      <c r="D112" s="190" t="str">
        <f t="shared" si="3"/>
        <v>Op</v>
      </c>
      <c r="E112" s="190" t="str">
        <f t="shared" si="3"/>
        <v>16:00</v>
      </c>
      <c r="F112" s="190" t="str">
        <f t="shared" si="3"/>
        <v>17:00</v>
      </c>
      <c r="G112" s="190" t="str">
        <f t="shared" si="3"/>
        <v>18:00</v>
      </c>
      <c r="H112" s="190" t="str">
        <f t="shared" si="3"/>
        <v>19:00</v>
      </c>
      <c r="I112" s="190" t="str">
        <f t="shared" si="3"/>
        <v>20:00</v>
      </c>
      <c r="J112" s="190" t="str">
        <f t="shared" si="3"/>
        <v>21:00</v>
      </c>
      <c r="K112" s="193"/>
    </row>
    <row r="113" spans="1:11" ht="39.950000000000003" customHeight="1">
      <c r="A113" s="189">
        <f t="shared" ref="A113:D114" si="4">A32</f>
        <v>201</v>
      </c>
      <c r="B113" s="189" t="str">
        <f t="shared" si="4"/>
        <v>1431-14</v>
      </c>
      <c r="C113" s="189" t="str">
        <f t="shared" si="4"/>
        <v>Civil</v>
      </c>
      <c r="D113" s="189" t="str">
        <f t="shared" si="4"/>
        <v>8AV, 5BV</v>
      </c>
      <c r="E113" s="212">
        <f>'concentrado nocturno'!K28</f>
        <v>0</v>
      </c>
      <c r="F113" s="212" t="str">
        <f>'concentrado nocturno'!L28</f>
        <v>A160 s007</v>
      </c>
      <c r="G113" s="212" t="str">
        <f>'concentrado nocturno'!M28</f>
        <v>A160 s007</v>
      </c>
      <c r="H113" s="212" t="str">
        <f>'concentrado nocturno'!N28</f>
        <v>A145</v>
      </c>
      <c r="I113" s="212" t="str">
        <f>'concentrado nocturno'!O28</f>
        <v>A261</v>
      </c>
      <c r="J113" s="212" t="str">
        <f>'concentrado nocturno'!P28</f>
        <v>A261</v>
      </c>
      <c r="K113" s="193"/>
    </row>
    <row r="114" spans="1:11" ht="39.950000000000003" customHeight="1">
      <c r="A114" s="189">
        <f t="shared" si="4"/>
        <v>202</v>
      </c>
      <c r="B114" s="189" t="str">
        <f t="shared" si="4"/>
        <v>831-14</v>
      </c>
      <c r="C114" s="189" t="str">
        <f t="shared" si="4"/>
        <v>Psicologia</v>
      </c>
      <c r="D114" s="189">
        <f t="shared" si="4"/>
        <v>0</v>
      </c>
      <c r="E114" s="212">
        <f>'concentrado nocturno'!K29</f>
        <v>0</v>
      </c>
      <c r="F114" s="212">
        <f>'concentrado nocturno'!L29</f>
        <v>0</v>
      </c>
      <c r="G114" s="212">
        <f>'concentrado nocturno'!M29</f>
        <v>0</v>
      </c>
      <c r="H114" s="212">
        <f>'concentrado nocturno'!N29</f>
        <v>2409</v>
      </c>
      <c r="I114" s="212">
        <f>'concentrado nocturno'!O29</f>
        <v>2409</v>
      </c>
      <c r="J114" s="212">
        <f>'concentrado nocturno'!P29</f>
        <v>2166</v>
      </c>
      <c r="K114" s="193"/>
    </row>
    <row r="115" spans="1:11" ht="39.950000000000003" customHeight="1">
      <c r="A115" s="189">
        <f t="shared" ref="A115:D125" si="5">A35</f>
        <v>204</v>
      </c>
      <c r="B115" s="189" t="str">
        <f t="shared" si="5"/>
        <v>731-13/831-14</v>
      </c>
      <c r="C115" s="189" t="str">
        <f t="shared" si="5"/>
        <v>Electro</v>
      </c>
      <c r="D115" s="189">
        <f t="shared" si="5"/>
        <v>0</v>
      </c>
      <c r="E115" s="212">
        <f>'concentrado nocturno'!K31</f>
        <v>0</v>
      </c>
      <c r="F115" s="212">
        <f>'concentrado nocturno'!L31</f>
        <v>0</v>
      </c>
      <c r="G115" s="212">
        <f>'concentrado nocturno'!M31</f>
        <v>1662</v>
      </c>
      <c r="H115" s="212">
        <f>'concentrado nocturno'!N31</f>
        <v>1662</v>
      </c>
      <c r="I115" s="212">
        <f>'concentrado nocturno'!O31</f>
        <v>1662</v>
      </c>
      <c r="J115" s="212" t="str">
        <f>'concentrado nocturno'!P31</f>
        <v>A79</v>
      </c>
      <c r="K115" s="193"/>
    </row>
    <row r="116" spans="1:11" ht="39.950000000000003" customHeight="1" thickTop="1" thickBot="1">
      <c r="A116" s="189">
        <f t="shared" si="5"/>
        <v>205</v>
      </c>
      <c r="B116" s="189" t="str">
        <f t="shared" si="5"/>
        <v>1121-14</v>
      </c>
      <c r="C116" s="189" t="str">
        <f t="shared" si="5"/>
        <v>Psicologia</v>
      </c>
      <c r="D116" s="189" t="str">
        <f t="shared" si="5"/>
        <v>8CV, 2BN</v>
      </c>
      <c r="E116" s="212" t="str">
        <f>'concentrado nocturno'!K32</f>
        <v>A263</v>
      </c>
      <c r="F116" s="212" t="str">
        <f>'concentrado nocturno'!L32</f>
        <v>2468 sln02</v>
      </c>
      <c r="G116" s="212" t="str">
        <f>'concentrado nocturno'!M32</f>
        <v>2468 sln02</v>
      </c>
      <c r="H116" s="212" t="str">
        <f>'concentrado nocturno'!N32</f>
        <v>A160</v>
      </c>
      <c r="I116" s="212" t="str">
        <f>'concentrado nocturno'!O32</f>
        <v>A160</v>
      </c>
      <c r="J116" s="212">
        <f>'concentrado nocturno'!P32</f>
        <v>0</v>
      </c>
      <c r="K116" s="193"/>
    </row>
    <row r="117" spans="1:11" ht="39.950000000000003" hidden="1" customHeight="1">
      <c r="A117" s="189">
        <f t="shared" si="5"/>
        <v>205</v>
      </c>
      <c r="B117" s="189">
        <f t="shared" si="5"/>
        <v>0</v>
      </c>
      <c r="C117" s="189">
        <f t="shared" si="5"/>
        <v>0</v>
      </c>
      <c r="D117" s="189">
        <f t="shared" si="5"/>
        <v>0</v>
      </c>
      <c r="E117" s="212">
        <f>'concentrado nocturno'!K33</f>
        <v>0</v>
      </c>
      <c r="F117" s="212">
        <f>'concentrado nocturno'!L33</f>
        <v>0</v>
      </c>
      <c r="G117" s="212">
        <f>'concentrado nocturno'!M33</f>
        <v>0</v>
      </c>
      <c r="H117" s="212">
        <f>'concentrado nocturno'!N33</f>
        <v>0</v>
      </c>
      <c r="I117" s="212">
        <f>'concentrado nocturno'!O33</f>
        <v>0</v>
      </c>
      <c r="J117" s="212">
        <f>'concentrado nocturno'!P33</f>
        <v>0</v>
      </c>
      <c r="K117" s="193"/>
    </row>
    <row r="118" spans="1:11" ht="39.950000000000003" customHeight="1" thickTop="1" thickBot="1">
      <c r="A118" s="189">
        <f t="shared" si="5"/>
        <v>206</v>
      </c>
      <c r="B118" s="189" t="str">
        <f t="shared" si="5"/>
        <v>231-14</v>
      </c>
      <c r="C118" s="189" t="str">
        <f t="shared" si="5"/>
        <v>Civil</v>
      </c>
      <c r="D118" s="189">
        <f t="shared" si="5"/>
        <v>0</v>
      </c>
      <c r="E118" s="212">
        <f>'concentrado nocturno'!K34</f>
        <v>0</v>
      </c>
      <c r="F118" s="212">
        <f>'concentrado nocturno'!L34</f>
        <v>0</v>
      </c>
      <c r="G118" s="212">
        <f>'concentrado nocturno'!M34</f>
        <v>0</v>
      </c>
      <c r="H118" s="212">
        <f>'concentrado nocturno'!N34</f>
        <v>245</v>
      </c>
      <c r="I118" s="212">
        <f>'concentrado nocturno'!O34</f>
        <v>245</v>
      </c>
      <c r="J118" s="212" t="str">
        <f>'concentrado nocturno'!P34</f>
        <v>634 cc</v>
      </c>
      <c r="K118" s="193"/>
    </row>
    <row r="119" spans="1:11" ht="39.950000000000003" customHeight="1" thickTop="1" thickBot="1">
      <c r="A119" s="189">
        <f t="shared" si="5"/>
        <v>207</v>
      </c>
      <c r="B119" s="189" t="str">
        <f t="shared" si="5"/>
        <v>231-14</v>
      </c>
      <c r="C119" s="189" t="str">
        <f t="shared" si="5"/>
        <v>Psicologia</v>
      </c>
      <c r="D119" s="189">
        <f t="shared" si="5"/>
        <v>0</v>
      </c>
      <c r="E119" s="212">
        <f>'concentrado nocturno'!K35</f>
        <v>0</v>
      </c>
      <c r="F119" s="212">
        <f>'concentrado nocturno'!L35</f>
        <v>0</v>
      </c>
      <c r="G119" s="212">
        <f>'concentrado nocturno'!M35</f>
        <v>0</v>
      </c>
      <c r="H119" s="212">
        <f>'concentrado nocturno'!N35</f>
        <v>2390</v>
      </c>
      <c r="I119" s="212" t="str">
        <f>'concentrado nocturno'!O35</f>
        <v>A262</v>
      </c>
      <c r="J119" s="212" t="str">
        <f>'concentrado nocturno'!P35</f>
        <v>A262</v>
      </c>
      <c r="K119" s="193"/>
    </row>
    <row r="120" spans="1:11" ht="39.950000000000003" customHeight="1">
      <c r="A120" s="189">
        <f t="shared" si="5"/>
        <v>209</v>
      </c>
      <c r="B120" s="189" t="str">
        <f t="shared" si="5"/>
        <v>1331-13/1431-14</v>
      </c>
      <c r="C120" s="189" t="str">
        <f t="shared" si="5"/>
        <v>Industrial</v>
      </c>
      <c r="D120" s="189">
        <f t="shared" si="5"/>
        <v>0</v>
      </c>
      <c r="E120" s="212">
        <f>'concentrado nocturno'!K37</f>
        <v>964</v>
      </c>
      <c r="F120" s="212">
        <f>'concentrado nocturno'!L37</f>
        <v>0</v>
      </c>
      <c r="G120" s="212">
        <f>'concentrado nocturno'!M37</f>
        <v>0</v>
      </c>
      <c r="H120" s="212" t="str">
        <f>'concentrado nocturno'!N37</f>
        <v>A182</v>
      </c>
      <c r="I120" s="212">
        <f>'concentrado nocturno'!O37</f>
        <v>1562</v>
      </c>
      <c r="J120" s="212" t="str">
        <f>'concentrado nocturno'!P37</f>
        <v>A103</v>
      </c>
      <c r="K120" s="193"/>
    </row>
    <row r="121" spans="1:11" ht="39.950000000000003" customHeight="1">
      <c r="A121" s="189">
        <f t="shared" si="5"/>
        <v>208</v>
      </c>
      <c r="B121" s="189" t="str">
        <f t="shared" si="5"/>
        <v>821-9</v>
      </c>
      <c r="C121" s="189" t="str">
        <f t="shared" si="5"/>
        <v>Industrial</v>
      </c>
      <c r="D121" s="189">
        <f t="shared" si="5"/>
        <v>0</v>
      </c>
      <c r="E121" s="212" t="str">
        <f>'concentrado nocturno'!K36</f>
        <v>S 209</v>
      </c>
      <c r="F121" s="212">
        <f>'concentrado nocturno'!L36</f>
        <v>0</v>
      </c>
      <c r="G121" s="212">
        <f>'concentrado nocturno'!M36</f>
        <v>0</v>
      </c>
      <c r="H121" s="212" t="str">
        <f>'concentrado nocturno'!N36</f>
        <v>A103</v>
      </c>
      <c r="I121" s="212" t="str">
        <f>'concentrado nocturno'!O36</f>
        <v>A103</v>
      </c>
      <c r="J121" s="212">
        <f>'concentrado nocturno'!P36</f>
        <v>0</v>
      </c>
      <c r="K121" s="193"/>
    </row>
    <row r="122" spans="1:11" ht="39.950000000000003" customHeight="1">
      <c r="A122" s="189">
        <f t="shared" si="5"/>
        <v>210</v>
      </c>
      <c r="B122" s="189" t="str">
        <f t="shared" si="5"/>
        <v>121-13</v>
      </c>
      <c r="C122" s="189" t="str">
        <f t="shared" si="5"/>
        <v>Psicologia</v>
      </c>
      <c r="D122" s="189">
        <f t="shared" si="5"/>
        <v>0</v>
      </c>
      <c r="E122" s="212">
        <f>'concentrado nocturno'!K38</f>
        <v>0</v>
      </c>
      <c r="F122" s="212">
        <f>'concentrado nocturno'!L38</f>
        <v>0</v>
      </c>
      <c r="G122" s="212">
        <f>'concentrado nocturno'!M38</f>
        <v>382</v>
      </c>
      <c r="H122" s="212">
        <f>'concentrado nocturno'!N38</f>
        <v>1602</v>
      </c>
      <c r="I122" s="212">
        <f>'concentrado nocturno'!O38</f>
        <v>1602</v>
      </c>
      <c r="J122" s="212">
        <f>'concentrado nocturno'!P38</f>
        <v>0</v>
      </c>
      <c r="K122" s="193"/>
    </row>
    <row r="123" spans="1:11" ht="39.950000000000003" customHeight="1">
      <c r="A123" s="189">
        <f t="shared" si="5"/>
        <v>211</v>
      </c>
      <c r="B123" s="189" t="str">
        <f t="shared" si="5"/>
        <v>1431-14</v>
      </c>
      <c r="C123" s="189" t="str">
        <f t="shared" si="5"/>
        <v>FINANZAS</v>
      </c>
      <c r="D123" s="189">
        <f t="shared" si="5"/>
        <v>0</v>
      </c>
      <c r="E123" s="212">
        <f>'concentrado nocturno'!K39</f>
        <v>0</v>
      </c>
      <c r="F123" s="212">
        <f>'concentrado nocturno'!L39</f>
        <v>0</v>
      </c>
      <c r="G123" s="212">
        <f>'concentrado nocturno'!M39</f>
        <v>0</v>
      </c>
      <c r="H123" s="212" t="str">
        <f>'concentrado nocturno'!N39</f>
        <v>A166</v>
      </c>
      <c r="I123" s="212" t="str">
        <f>'concentrado nocturno'!O39</f>
        <v>A99</v>
      </c>
      <c r="J123" s="212">
        <f>'concentrado nocturno'!P39</f>
        <v>1990</v>
      </c>
      <c r="K123" s="193"/>
    </row>
    <row r="124" spans="1:11" ht="39.950000000000003" customHeight="1">
      <c r="A124" s="189">
        <f t="shared" si="5"/>
        <v>211</v>
      </c>
      <c r="B124" s="189" t="str">
        <f t="shared" si="5"/>
        <v>1421-14</v>
      </c>
      <c r="C124" s="189" t="str">
        <f t="shared" si="5"/>
        <v>Psicologia</v>
      </c>
      <c r="D124" s="189">
        <f t="shared" si="5"/>
        <v>0</v>
      </c>
      <c r="E124" s="212">
        <f>'concentrado nocturno'!K40</f>
        <v>1303</v>
      </c>
      <c r="F124" s="212">
        <f>'concentrado nocturno'!L40</f>
        <v>1303</v>
      </c>
      <c r="G124" s="212" t="str">
        <f>'concentrado nocturno'!M40</f>
        <v>A121</v>
      </c>
      <c r="H124" s="212">
        <f>'concentrado nocturno'!N40</f>
        <v>0</v>
      </c>
      <c r="I124" s="212">
        <f>'concentrado nocturno'!O40</f>
        <v>0</v>
      </c>
      <c r="J124" s="212">
        <f>'concentrado nocturno'!P40</f>
        <v>0</v>
      </c>
      <c r="K124" s="193"/>
    </row>
    <row r="125" spans="1:11" ht="39.950000000000003" customHeight="1">
      <c r="A125" s="189">
        <f t="shared" si="5"/>
        <v>212</v>
      </c>
      <c r="B125" s="189" t="str">
        <f t="shared" si="5"/>
        <v>421-8</v>
      </c>
      <c r="C125" s="189" t="str">
        <f t="shared" si="5"/>
        <v>Industrial</v>
      </c>
      <c r="D125" s="189">
        <f t="shared" si="5"/>
        <v>0</v>
      </c>
      <c r="E125" s="212" t="str">
        <f>'concentrado nocturno'!K41</f>
        <v>S. 301-A</v>
      </c>
      <c r="F125" s="212">
        <f>'concentrado nocturno'!L41</f>
        <v>765</v>
      </c>
      <c r="G125" s="212">
        <f>'concentrado nocturno'!M41</f>
        <v>765</v>
      </c>
      <c r="H125" s="212" t="str">
        <f>'concentrado nocturno'!N41</f>
        <v>S. 301-A</v>
      </c>
      <c r="I125" s="212" t="str">
        <f>'concentrado nocturno'!O41</f>
        <v>S. 301-A</v>
      </c>
      <c r="J125" s="212">
        <f>'concentrado nocturno'!P41</f>
        <v>1581</v>
      </c>
      <c r="K125" s="193"/>
    </row>
    <row r="126" spans="1:11" ht="39.950000000000003" customHeight="1">
      <c r="A126" s="189">
        <f t="shared" ref="A126:D135" si="6">A46</f>
        <v>213</v>
      </c>
      <c r="B126" s="189" t="str">
        <f t="shared" si="6"/>
        <v>521-14</v>
      </c>
      <c r="C126" s="189" t="str">
        <f t="shared" si="6"/>
        <v>FINANZAS</v>
      </c>
      <c r="D126" s="189">
        <f t="shared" si="6"/>
        <v>0</v>
      </c>
      <c r="E126" s="212" t="str">
        <f>'concentrado nocturno'!K43</f>
        <v>A166</v>
      </c>
      <c r="F126" s="212">
        <f>'concentrado nocturno'!L43</f>
        <v>0</v>
      </c>
      <c r="G126" s="212">
        <f>'concentrado nocturno'!M43</f>
        <v>0</v>
      </c>
      <c r="H126" s="212">
        <f>'concentrado nocturno'!N43</f>
        <v>0</v>
      </c>
      <c r="I126" s="212">
        <f>'concentrado nocturno'!O43</f>
        <v>0</v>
      </c>
      <c r="J126" s="212">
        <f>'concentrado nocturno'!P43</f>
        <v>0</v>
      </c>
      <c r="K126" s="193"/>
    </row>
    <row r="127" spans="1:11" ht="39.950000000000003" customHeight="1">
      <c r="A127" s="189">
        <f t="shared" si="6"/>
        <v>214</v>
      </c>
      <c r="B127" s="189">
        <f t="shared" si="6"/>
        <v>0</v>
      </c>
      <c r="C127" s="189">
        <f t="shared" si="6"/>
        <v>0</v>
      </c>
      <c r="D127" s="189">
        <f t="shared" si="6"/>
        <v>0</v>
      </c>
      <c r="E127" s="212">
        <f>'concentrado nocturno'!K44</f>
        <v>0</v>
      </c>
      <c r="F127" s="212">
        <f>'concentrado nocturno'!L44</f>
        <v>0</v>
      </c>
      <c r="G127" s="212">
        <f>'concentrado nocturno'!M44</f>
        <v>0</v>
      </c>
      <c r="H127" s="212">
        <f>'concentrado nocturno'!N44</f>
        <v>0</v>
      </c>
      <c r="I127" s="212">
        <f>'concentrado nocturno'!O44</f>
        <v>0</v>
      </c>
      <c r="J127" s="212">
        <f>'concentrado nocturno'!P44</f>
        <v>0</v>
      </c>
      <c r="K127" s="193"/>
    </row>
    <row r="128" spans="1:11" ht="39.950000000000003" customHeight="1">
      <c r="A128" s="189">
        <f t="shared" si="6"/>
        <v>215</v>
      </c>
      <c r="B128" s="189" t="str">
        <f t="shared" si="6"/>
        <v>1421-14</v>
      </c>
      <c r="C128" s="189" t="str">
        <f t="shared" si="6"/>
        <v>Compu</v>
      </c>
      <c r="D128" s="189">
        <f t="shared" si="6"/>
        <v>0</v>
      </c>
      <c r="E128" s="212">
        <f>'concentrado nocturno'!K45</f>
        <v>0</v>
      </c>
      <c r="F128" s="212" t="str">
        <f>'concentrado nocturno'!L45</f>
        <v>1035 CC</v>
      </c>
      <c r="G128" s="212" t="str">
        <f>'concentrado nocturno'!M45</f>
        <v>1035 CC</v>
      </c>
      <c r="H128" s="212" t="str">
        <f>'concentrado nocturno'!N45</f>
        <v>A38cc</v>
      </c>
      <c r="I128" s="212">
        <f>'concentrado nocturno'!O45</f>
        <v>0</v>
      </c>
      <c r="J128" s="212">
        <f>'concentrado nocturno'!P45</f>
        <v>0</v>
      </c>
      <c r="K128" s="193"/>
    </row>
    <row r="129" spans="1:11" ht="39.950000000000003" customHeight="1">
      <c r="A129" s="189">
        <f t="shared" si="6"/>
        <v>216</v>
      </c>
      <c r="B129" s="189" t="str">
        <f t="shared" si="6"/>
        <v>821-14</v>
      </c>
      <c r="C129" s="189" t="str">
        <f t="shared" si="6"/>
        <v>Mecatronica</v>
      </c>
      <c r="D129" s="189">
        <f t="shared" si="6"/>
        <v>0</v>
      </c>
      <c r="E129" s="212">
        <f>'concentrado nocturno'!K46</f>
        <v>0</v>
      </c>
      <c r="F129" s="212">
        <f>'concentrado nocturno'!L46</f>
        <v>0</v>
      </c>
      <c r="G129" s="212" t="str">
        <f>'concentrado nocturno'!M46</f>
        <v>1534 cc</v>
      </c>
      <c r="H129" s="212">
        <f>'concentrado nocturno'!N46</f>
        <v>2387</v>
      </c>
      <c r="I129" s="212" t="str">
        <f>'concentrado nocturno'!O46</f>
        <v>A163 Taller</v>
      </c>
      <c r="J129" s="212">
        <f>'concentrado nocturno'!P46</f>
        <v>0</v>
      </c>
      <c r="K129" s="193"/>
    </row>
    <row r="130" spans="1:11" ht="39.950000000000003" customHeight="1">
      <c r="A130" s="189">
        <f t="shared" si="6"/>
        <v>217</v>
      </c>
      <c r="B130" s="189">
        <f t="shared" si="6"/>
        <v>0</v>
      </c>
      <c r="C130" s="189">
        <f t="shared" si="6"/>
        <v>0</v>
      </c>
      <c r="D130" s="189">
        <f t="shared" si="6"/>
        <v>0</v>
      </c>
      <c r="E130" s="212">
        <f>'concentrado nocturno'!K47</f>
        <v>0</v>
      </c>
      <c r="F130" s="212">
        <f>'concentrado nocturno'!L47</f>
        <v>0</v>
      </c>
      <c r="G130" s="212">
        <f>'concentrado nocturno'!M47</f>
        <v>0</v>
      </c>
      <c r="H130" s="212">
        <f>'concentrado nocturno'!N47</f>
        <v>0</v>
      </c>
      <c r="I130" s="212">
        <f>'concentrado nocturno'!O47</f>
        <v>0</v>
      </c>
      <c r="J130" s="212">
        <f>'concentrado nocturno'!P47</f>
        <v>0</v>
      </c>
      <c r="K130" s="193"/>
    </row>
    <row r="131" spans="1:11" ht="39.950000000000003" customHeight="1" thickTop="1" thickBot="1">
      <c r="A131" s="189">
        <f t="shared" si="6"/>
        <v>218</v>
      </c>
      <c r="B131" s="189" t="str">
        <f t="shared" si="6"/>
        <v>1031-13/1131-14</v>
      </c>
      <c r="C131" s="189" t="str">
        <f t="shared" si="6"/>
        <v>Industrial</v>
      </c>
      <c r="D131" s="189">
        <f t="shared" si="6"/>
        <v>0</v>
      </c>
      <c r="E131" s="212">
        <f>'concentrado nocturno'!K48</f>
        <v>0</v>
      </c>
      <c r="F131" s="212">
        <f>'concentrado nocturno'!L48</f>
        <v>0</v>
      </c>
      <c r="G131" s="212">
        <f>'concentrado nocturno'!M48</f>
        <v>0</v>
      </c>
      <c r="H131" s="212" t="str">
        <f>'concentrado nocturno'!N48</f>
        <v>2451 s309A</v>
      </c>
      <c r="I131" s="212" t="str">
        <f>'concentrado nocturno'!O48</f>
        <v>2451 s309A</v>
      </c>
      <c r="J131" s="212">
        <f>'concentrado nocturno'!P48</f>
        <v>2536</v>
      </c>
      <c r="K131" s="193"/>
    </row>
    <row r="132" spans="1:11" ht="39.950000000000003" customHeight="1" thickTop="1" thickBot="1">
      <c r="A132" s="189" t="str">
        <f t="shared" si="6"/>
        <v>219-A</v>
      </c>
      <c r="B132" s="189" t="str">
        <f t="shared" si="6"/>
        <v>521-9</v>
      </c>
      <c r="C132" s="189" t="str">
        <f t="shared" si="6"/>
        <v>Mecatronica</v>
      </c>
      <c r="D132" s="189">
        <f t="shared" si="6"/>
        <v>0</v>
      </c>
      <c r="E132" s="212" t="str">
        <f>'concentrado nocturno'!K49</f>
        <v>1094 CC</v>
      </c>
      <c r="F132" s="212" t="str">
        <f>'concentrado nocturno'!L49</f>
        <v>1094 CC</v>
      </c>
      <c r="G132" s="212" t="str">
        <f>'concentrado nocturno'!M49</f>
        <v>A235</v>
      </c>
      <c r="H132" s="212" t="str">
        <f>'concentrado nocturno'!N49</f>
        <v>A235</v>
      </c>
      <c r="I132" s="212" t="str">
        <f>'concentrado nocturno'!O49</f>
        <v>A235</v>
      </c>
      <c r="J132" s="212">
        <f>'concentrado nocturno'!P49</f>
        <v>0</v>
      </c>
      <c r="K132" s="193"/>
    </row>
    <row r="133" spans="1:11" ht="39.950000000000003" customHeight="1" thickTop="1" thickBot="1">
      <c r="A133" s="189">
        <f t="shared" si="6"/>
        <v>219</v>
      </c>
      <c r="B133" s="189">
        <f t="shared" ref="B133:D133" si="7">B53</f>
        <v>0</v>
      </c>
      <c r="C133" s="189">
        <f t="shared" si="7"/>
        <v>0</v>
      </c>
      <c r="D133" s="189">
        <f t="shared" si="7"/>
        <v>0</v>
      </c>
      <c r="E133" s="212">
        <f>'concentrado nocturno'!K50</f>
        <v>0</v>
      </c>
      <c r="F133" s="212">
        <f>'concentrado nocturno'!L50</f>
        <v>0</v>
      </c>
      <c r="G133" s="212">
        <f>'concentrado nocturno'!M50</f>
        <v>0</v>
      </c>
      <c r="H133" s="212">
        <f>'concentrado nocturno'!N50</f>
        <v>0</v>
      </c>
      <c r="I133" s="212">
        <f>'concentrado nocturno'!O50</f>
        <v>0</v>
      </c>
      <c r="J133" s="212">
        <f>'concentrado nocturno'!P50</f>
        <v>0</v>
      </c>
      <c r="K133" s="193"/>
    </row>
    <row r="134" spans="1:11" ht="39.950000000000003" customHeight="1">
      <c r="A134" s="189">
        <f t="shared" si="6"/>
        <v>220</v>
      </c>
      <c r="B134" s="189" t="str">
        <f t="shared" ref="B134:D134" si="8">B54</f>
        <v>1031-13/1131-14</v>
      </c>
      <c r="C134" s="189" t="str">
        <f t="shared" si="8"/>
        <v>Compu</v>
      </c>
      <c r="D134" s="189">
        <f t="shared" si="8"/>
        <v>0</v>
      </c>
      <c r="E134" s="212">
        <f>'concentrado nocturno'!K51</f>
        <v>0</v>
      </c>
      <c r="F134" s="212">
        <f>'concentrado nocturno'!L51</f>
        <v>0</v>
      </c>
      <c r="G134" s="212" t="str">
        <f>'concentrado nocturno'!M51</f>
        <v>A38</v>
      </c>
      <c r="H134" s="212">
        <f>'concentrado nocturno'!N51</f>
        <v>0</v>
      </c>
      <c r="I134" s="212">
        <f>'concentrado nocturno'!O51</f>
        <v>0</v>
      </c>
      <c r="J134" s="212">
        <f>'concentrado nocturno'!P51</f>
        <v>0</v>
      </c>
      <c r="K134" s="193"/>
    </row>
    <row r="135" spans="1:11" ht="39.950000000000003" customHeight="1" thickTop="1">
      <c r="A135" s="189">
        <f t="shared" si="6"/>
        <v>221</v>
      </c>
      <c r="B135" s="189" t="str">
        <f t="shared" ref="B135:D135" si="9">B55</f>
        <v>731-13/831-14</v>
      </c>
      <c r="C135" s="189" t="str">
        <f t="shared" si="9"/>
        <v>Compu</v>
      </c>
      <c r="D135" s="189">
        <f t="shared" si="9"/>
        <v>0</v>
      </c>
      <c r="E135" s="212">
        <f>'concentrado nocturno'!K52</f>
        <v>0</v>
      </c>
      <c r="F135" s="212">
        <f>'concentrado nocturno'!L52</f>
        <v>0</v>
      </c>
      <c r="G135" s="212">
        <f>'concentrado nocturno'!M52</f>
        <v>2453</v>
      </c>
      <c r="H135" s="212" t="str">
        <f>'concentrado nocturno'!N52</f>
        <v>335cc</v>
      </c>
      <c r="I135" s="212" t="str">
        <f>'concentrado nocturno'!O52</f>
        <v>335cc</v>
      </c>
      <c r="J135" s="212">
        <f>'concentrado nocturno'!P52</f>
        <v>0</v>
      </c>
      <c r="K135" s="193"/>
    </row>
    <row r="136" spans="1:11" ht="39.950000000000003" customHeight="1" thickBot="1">
      <c r="A136" s="183"/>
      <c r="B136" s="183"/>
      <c r="C136" s="183"/>
      <c r="D136" s="183"/>
      <c r="E136" s="213"/>
      <c r="F136" s="213"/>
      <c r="G136" s="213"/>
      <c r="H136" s="213"/>
      <c r="I136" s="193"/>
      <c r="J136" s="193"/>
      <c r="K136" s="193"/>
    </row>
    <row r="137" spans="1:11" ht="39.950000000000003" customHeight="1">
      <c r="A137" s="388" t="str">
        <f>A109</f>
        <v>REGISTRO DIARIO DE INCIDENCIAS</v>
      </c>
      <c r="B137" s="389"/>
      <c r="C137" s="389"/>
      <c r="D137" s="389"/>
      <c r="E137" s="389"/>
      <c r="F137" s="389"/>
      <c r="G137" s="389"/>
      <c r="H137" s="389"/>
      <c r="I137" s="389"/>
      <c r="J137" s="390"/>
      <c r="K137" s="193"/>
    </row>
    <row r="138" spans="1:11" ht="39.950000000000003" customHeight="1">
      <c r="A138" s="391" t="str">
        <f>A110</f>
        <v>PERIODO ENERO- ABRIL 2026</v>
      </c>
      <c r="B138" s="392"/>
      <c r="C138" s="392"/>
      <c r="D138" s="392"/>
      <c r="E138" s="392"/>
      <c r="F138" s="392"/>
      <c r="G138" s="392"/>
      <c r="H138" s="392"/>
      <c r="I138" s="392"/>
      <c r="J138" s="393"/>
      <c r="K138" s="193"/>
    </row>
    <row r="139" spans="1:11" ht="39.950000000000003" customHeight="1">
      <c r="A139" s="394" t="str">
        <f>A111</f>
        <v>TURNOS: VESP Y NOCTURNO</v>
      </c>
      <c r="B139" s="395"/>
      <c r="C139" s="395"/>
      <c r="D139" s="396">
        <f>D111</f>
        <v>46084</v>
      </c>
      <c r="E139" s="396"/>
      <c r="F139" s="396"/>
      <c r="G139" s="395" t="str">
        <f>G111</f>
        <v xml:space="preserve">SEM 9 LIC </v>
      </c>
      <c r="H139" s="395"/>
      <c r="I139" s="395"/>
      <c r="J139" s="397"/>
      <c r="K139" s="193"/>
    </row>
    <row r="140" spans="1:11" ht="39.950000000000003" customHeight="1">
      <c r="A140" s="190" t="str">
        <f>A112</f>
        <v>Aula</v>
      </c>
      <c r="B140" s="190" t="str">
        <f>B112</f>
        <v>Gpo.</v>
      </c>
      <c r="C140" s="190" t="str">
        <f>C112</f>
        <v>Licenciatura</v>
      </c>
      <c r="D140" s="190" t="str">
        <f>D112</f>
        <v>Op</v>
      </c>
      <c r="E140" s="190" t="str">
        <f>E112</f>
        <v>16:00</v>
      </c>
      <c r="F140" s="190" t="str">
        <f>F112</f>
        <v>17:00</v>
      </c>
      <c r="G140" s="190" t="str">
        <f>G112</f>
        <v>18:00</v>
      </c>
      <c r="H140" s="190" t="str">
        <f>H112</f>
        <v>19:00</v>
      </c>
      <c r="I140" s="223" t="str">
        <f>I112</f>
        <v>20:00</v>
      </c>
      <c r="J140" s="223" t="str">
        <f>J112</f>
        <v>21:00</v>
      </c>
      <c r="K140" s="193"/>
    </row>
    <row r="141" spans="1:11" ht="39.950000000000003" customHeight="1">
      <c r="A141" s="189">
        <f t="shared" ref="A141:D159" si="10">A61</f>
        <v>301</v>
      </c>
      <c r="B141" s="189" t="str">
        <f t="shared" si="10"/>
        <v>521-9</v>
      </c>
      <c r="C141" s="189" t="str">
        <f t="shared" si="10"/>
        <v>Civil</v>
      </c>
      <c r="D141" s="189">
        <f t="shared" si="10"/>
        <v>0</v>
      </c>
      <c r="E141" s="209" t="str">
        <f>'concentrado nocturno'!K53</f>
        <v>S 102</v>
      </c>
      <c r="F141" s="209">
        <f>'concentrado nocturno'!L53</f>
        <v>1384</v>
      </c>
      <c r="G141" s="209">
        <f>'concentrado nocturno'!M53</f>
        <v>1384</v>
      </c>
      <c r="H141" s="209">
        <f>'concentrado nocturno'!N53</f>
        <v>2401</v>
      </c>
      <c r="I141" s="209" t="str">
        <f>'concentrado nocturno'!O53</f>
        <v>A169</v>
      </c>
      <c r="J141" s="209">
        <f>'concentrado nocturno'!P53</f>
        <v>0</v>
      </c>
      <c r="K141" s="193"/>
    </row>
    <row r="142" spans="1:11" ht="39.950000000000003" customHeight="1">
      <c r="A142" s="237" t="str">
        <f t="shared" si="10"/>
        <v>301-A</v>
      </c>
      <c r="B142" s="189" t="str">
        <f t="shared" si="10"/>
        <v>521-9</v>
      </c>
      <c r="C142" s="189" t="str">
        <f t="shared" si="10"/>
        <v>Industrial</v>
      </c>
      <c r="D142" s="189">
        <f t="shared" si="10"/>
        <v>0</v>
      </c>
      <c r="E142" s="209" t="str">
        <f>'concentrado nocturno'!K54</f>
        <v>A184</v>
      </c>
      <c r="F142" s="209">
        <f>'concentrado nocturno'!L54</f>
        <v>964</v>
      </c>
      <c r="G142" s="209">
        <f>'concentrado nocturno'!M54</f>
        <v>964</v>
      </c>
      <c r="H142" s="209" t="str">
        <f>'concentrado nocturno'!N54</f>
        <v>A89</v>
      </c>
      <c r="I142" s="209" t="str">
        <f>'concentrado nocturno'!O54</f>
        <v>A89</v>
      </c>
      <c r="J142" s="209">
        <f>'concentrado nocturno'!P54</f>
        <v>0</v>
      </c>
      <c r="K142" s="193"/>
    </row>
    <row r="143" spans="1:11" ht="39.950000000000003" customHeight="1">
      <c r="A143" s="189">
        <f t="shared" si="10"/>
        <v>302</v>
      </c>
      <c r="B143" s="189" t="str">
        <f t="shared" si="10"/>
        <v>221-9</v>
      </c>
      <c r="C143" s="189" t="str">
        <f t="shared" si="10"/>
        <v>Psicologia</v>
      </c>
      <c r="D143" s="189">
        <f t="shared" si="10"/>
        <v>0</v>
      </c>
      <c r="E143" s="209">
        <f>'concentrado nocturno'!K55</f>
        <v>1602</v>
      </c>
      <c r="F143" s="209">
        <f>'concentrado nocturno'!L55</f>
        <v>0</v>
      </c>
      <c r="G143" s="209">
        <f>'concentrado nocturno'!M55</f>
        <v>0</v>
      </c>
      <c r="H143" s="209">
        <f>'concentrado nocturno'!N55</f>
        <v>2023</v>
      </c>
      <c r="I143" s="209">
        <f>'concentrado nocturno'!O55</f>
        <v>2023</v>
      </c>
      <c r="J143" s="209">
        <f>'concentrado nocturno'!P55</f>
        <v>0</v>
      </c>
      <c r="K143" s="193"/>
    </row>
    <row r="144" spans="1:11" ht="39.950000000000003" customHeight="1">
      <c r="A144" s="189">
        <f t="shared" si="10"/>
        <v>303</v>
      </c>
      <c r="B144" s="189" t="str">
        <f t="shared" si="10"/>
        <v>521-9</v>
      </c>
      <c r="C144" s="189" t="str">
        <f t="shared" si="10"/>
        <v>FINANZAS</v>
      </c>
      <c r="D144" s="189">
        <f t="shared" si="10"/>
        <v>0</v>
      </c>
      <c r="E144" s="209">
        <f>'concentrado nocturno'!K56</f>
        <v>1357</v>
      </c>
      <c r="F144" s="209" t="str">
        <f>'concentrado nocturno'!L56</f>
        <v>A228</v>
      </c>
      <c r="G144" s="209">
        <f>'concentrado nocturno'!M56</f>
        <v>2040</v>
      </c>
      <c r="H144" s="209">
        <f>'concentrado nocturno'!N56</f>
        <v>2040</v>
      </c>
      <c r="I144" s="209">
        <f>'concentrado nocturno'!O56</f>
        <v>0</v>
      </c>
      <c r="J144" s="209">
        <f>'concentrado nocturno'!P56</f>
        <v>0</v>
      </c>
      <c r="K144" s="193"/>
    </row>
    <row r="145" spans="1:11" ht="39.950000000000003" customHeight="1">
      <c r="A145" s="189">
        <f t="shared" si="10"/>
        <v>304</v>
      </c>
      <c r="B145" s="189" t="str">
        <f t="shared" ref="B145:C145" si="11">B65</f>
        <v>1131-14</v>
      </c>
      <c r="C145" s="189" t="str">
        <f t="shared" si="11"/>
        <v>Electro</v>
      </c>
      <c r="D145" s="189">
        <f t="shared" si="10"/>
        <v>0</v>
      </c>
      <c r="E145" s="209">
        <f>'concentrado nocturno'!K57</f>
        <v>0</v>
      </c>
      <c r="F145" s="209">
        <f>'concentrado nocturno'!L57</f>
        <v>0</v>
      </c>
      <c r="G145" s="209">
        <f>'concentrado nocturno'!M57</f>
        <v>0</v>
      </c>
      <c r="H145" s="209" t="str">
        <f>'concentrado nocturno'!N57</f>
        <v>2451 s309A</v>
      </c>
      <c r="I145" s="209" t="str">
        <f>'concentrado nocturno'!O57</f>
        <v>2451 s309A</v>
      </c>
      <c r="J145" s="209" t="str">
        <f>'concentrado nocturno'!P57</f>
        <v>A105</v>
      </c>
      <c r="K145" s="193"/>
    </row>
    <row r="146" spans="1:11" ht="39.950000000000003" customHeight="1">
      <c r="A146" s="189">
        <f t="shared" si="10"/>
        <v>305</v>
      </c>
      <c r="B146" s="189" t="str">
        <f t="shared" ref="B146:C146" si="12">B66</f>
        <v>221-9</v>
      </c>
      <c r="C146" s="189" t="str">
        <f t="shared" si="12"/>
        <v>Negocios</v>
      </c>
      <c r="D146" s="189">
        <f t="shared" si="10"/>
        <v>0</v>
      </c>
      <c r="E146" s="209">
        <f>'concentrado nocturno'!K58</f>
        <v>2023</v>
      </c>
      <c r="F146" s="209">
        <f>'concentrado nocturno'!L58</f>
        <v>0</v>
      </c>
      <c r="G146" s="209">
        <f>'concentrado nocturno'!M58</f>
        <v>0</v>
      </c>
      <c r="H146" s="209">
        <f>'concentrado nocturno'!N58</f>
        <v>2472</v>
      </c>
      <c r="I146" s="209">
        <f>'concentrado nocturno'!O58</f>
        <v>2472</v>
      </c>
      <c r="J146" s="209">
        <f>'concentrado nocturno'!P58</f>
        <v>0</v>
      </c>
      <c r="K146" s="193"/>
    </row>
    <row r="147" spans="1:11" ht="39.950000000000003" customHeight="1">
      <c r="A147" s="189">
        <f t="shared" si="10"/>
        <v>306</v>
      </c>
      <c r="B147" s="189">
        <f t="shared" ref="B147" si="13">B67</f>
        <v>0</v>
      </c>
      <c r="C147" s="189">
        <f t="shared" si="10"/>
        <v>0</v>
      </c>
      <c r="D147" s="189" t="str">
        <f t="shared" si="10"/>
        <v>11AN</v>
      </c>
      <c r="E147" s="209">
        <f>'concentrado nocturno'!K59</f>
        <v>0</v>
      </c>
      <c r="F147" s="209">
        <f>'concentrado nocturno'!L59</f>
        <v>0</v>
      </c>
      <c r="G147" s="209">
        <f>'concentrado nocturno'!M59</f>
        <v>0</v>
      </c>
      <c r="H147" s="209">
        <f>'concentrado nocturno'!N59</f>
        <v>2476</v>
      </c>
      <c r="I147" s="209">
        <f>'concentrado nocturno'!O59</f>
        <v>2476</v>
      </c>
      <c r="J147" s="209">
        <f>'concentrado nocturno'!P59</f>
        <v>0</v>
      </c>
      <c r="K147" s="193"/>
    </row>
    <row r="148" spans="1:11" ht="39.950000000000003" customHeight="1">
      <c r="A148" s="189">
        <f t="shared" si="10"/>
        <v>307</v>
      </c>
      <c r="B148" s="189" t="str">
        <f t="shared" ref="B148" si="14">B68</f>
        <v>231-14</v>
      </c>
      <c r="C148" s="189" t="str">
        <f t="shared" si="10"/>
        <v>Industrial</v>
      </c>
      <c r="D148" s="189">
        <f t="shared" si="10"/>
        <v>0</v>
      </c>
      <c r="E148" s="209">
        <f>'concentrado nocturno'!K60</f>
        <v>0</v>
      </c>
      <c r="F148" s="209">
        <f>'concentrado nocturno'!L60</f>
        <v>0</v>
      </c>
      <c r="G148" s="209">
        <f>'concentrado nocturno'!M60</f>
        <v>1153</v>
      </c>
      <c r="H148" s="209">
        <f>'concentrado nocturno'!N60</f>
        <v>1579</v>
      </c>
      <c r="I148" s="209">
        <f>'concentrado nocturno'!O60</f>
        <v>765</v>
      </c>
      <c r="J148" s="209">
        <f>'concentrado nocturno'!P60</f>
        <v>0</v>
      </c>
      <c r="K148" s="193"/>
    </row>
    <row r="149" spans="1:11" ht="39.950000000000003" customHeight="1">
      <c r="A149" s="189">
        <f t="shared" si="10"/>
        <v>308</v>
      </c>
      <c r="B149" s="189" t="str">
        <f t="shared" ref="B149" si="15">B69</f>
        <v>831-14</v>
      </c>
      <c r="C149" s="189" t="str">
        <f t="shared" si="10"/>
        <v>Civil</v>
      </c>
      <c r="D149" s="189">
        <f t="shared" si="10"/>
        <v>0</v>
      </c>
      <c r="E149" s="209">
        <f>'concentrado nocturno'!K61</f>
        <v>0</v>
      </c>
      <c r="F149" s="209">
        <f>'concentrado nocturno'!L61</f>
        <v>0</v>
      </c>
      <c r="G149" s="209">
        <f>'concentrado nocturno'!M61</f>
        <v>0</v>
      </c>
      <c r="H149" s="209" t="str">
        <f>'concentrado nocturno'!N61</f>
        <v>A43</v>
      </c>
      <c r="I149" s="209">
        <f>'concentrado nocturno'!O61</f>
        <v>1384</v>
      </c>
      <c r="J149" s="209" t="str">
        <f>'concentrado nocturno'!P61</f>
        <v>A136</v>
      </c>
      <c r="K149" s="193"/>
    </row>
    <row r="150" spans="1:11" ht="39.950000000000003" customHeight="1">
      <c r="A150" s="189">
        <f t="shared" si="10"/>
        <v>309</v>
      </c>
      <c r="B150" s="189" t="str">
        <f t="shared" ref="B150:B151" si="16">B70</f>
        <v xml:space="preserve">731-13   </v>
      </c>
      <c r="C150" s="189" t="str">
        <f t="shared" si="10"/>
        <v>Industrial</v>
      </c>
      <c r="D150" s="189">
        <f t="shared" si="10"/>
        <v>0</v>
      </c>
      <c r="E150" s="209">
        <f>'concentrado nocturno'!K62</f>
        <v>0</v>
      </c>
      <c r="F150" s="209">
        <f>'concentrado nocturno'!L62</f>
        <v>0</v>
      </c>
      <c r="G150" s="209">
        <f>'concentrado nocturno'!M62</f>
        <v>0</v>
      </c>
      <c r="H150" s="209" t="str">
        <f>'concentrado nocturno'!N62</f>
        <v>S. 313</v>
      </c>
      <c r="I150" s="209" t="str">
        <f>'concentrado nocturno'!O62</f>
        <v>S 313</v>
      </c>
      <c r="J150" s="209" t="str">
        <f>'concentrado nocturno'!P62</f>
        <v>S. 313</v>
      </c>
      <c r="K150" s="193"/>
    </row>
    <row r="151" spans="1:11" ht="39.950000000000003" customHeight="1">
      <c r="A151" s="237" t="str">
        <f t="shared" si="10"/>
        <v>309-A</v>
      </c>
      <c r="B151" s="189" t="str">
        <f t="shared" si="16"/>
        <v>531-14</v>
      </c>
      <c r="C151" s="189" t="str">
        <f t="shared" si="10"/>
        <v>Psicologia</v>
      </c>
      <c r="D151" s="189" t="str">
        <f t="shared" si="10"/>
        <v>2AN</v>
      </c>
      <c r="E151" s="209">
        <f>'concentrado nocturno'!K63</f>
        <v>0</v>
      </c>
      <c r="F151" s="209">
        <f>'concentrado nocturno'!L63</f>
        <v>0</v>
      </c>
      <c r="G151" s="209">
        <f>'concentrado nocturno'!M63</f>
        <v>0</v>
      </c>
      <c r="H151" s="209">
        <f>'concentrado nocturno'!N63</f>
        <v>2451</v>
      </c>
      <c r="I151" s="209">
        <f>'concentrado nocturno'!O63</f>
        <v>2451</v>
      </c>
      <c r="J151" s="209" t="str">
        <f>'concentrado nocturno'!P63</f>
        <v>A257</v>
      </c>
      <c r="K151" s="193"/>
    </row>
    <row r="152" spans="1:11" ht="39.950000000000003" customHeight="1">
      <c r="A152" s="189">
        <f t="shared" si="10"/>
        <v>310</v>
      </c>
      <c r="B152" s="189">
        <f t="shared" si="10"/>
        <v>0</v>
      </c>
      <c r="C152" s="189">
        <f t="shared" si="10"/>
        <v>0</v>
      </c>
      <c r="D152" s="189">
        <f t="shared" si="10"/>
        <v>0</v>
      </c>
      <c r="E152" s="209">
        <f>'concentrado nocturno'!K64</f>
        <v>0</v>
      </c>
      <c r="F152" s="209">
        <f>'concentrado nocturno'!L64</f>
        <v>0</v>
      </c>
      <c r="G152" s="209">
        <f>'concentrado nocturno'!M64</f>
        <v>0</v>
      </c>
      <c r="H152" s="209">
        <f>'concentrado nocturno'!N64</f>
        <v>0</v>
      </c>
      <c r="I152" s="209">
        <f>'concentrado nocturno'!O64</f>
        <v>0</v>
      </c>
      <c r="J152" s="209">
        <f>'concentrado nocturno'!P64</f>
        <v>0</v>
      </c>
      <c r="K152" s="193"/>
    </row>
    <row r="153" spans="1:11" ht="39.950000000000003" customHeight="1">
      <c r="A153" s="189">
        <f t="shared" si="10"/>
        <v>311</v>
      </c>
      <c r="B153" s="189" t="str">
        <f t="shared" si="10"/>
        <v>431-13/531-14</v>
      </c>
      <c r="C153" s="189" t="str">
        <f t="shared" si="10"/>
        <v>Mecatronica</v>
      </c>
      <c r="D153" s="189">
        <f t="shared" si="10"/>
        <v>0</v>
      </c>
      <c r="E153" s="209">
        <f>'concentrado nocturno'!K65</f>
        <v>0</v>
      </c>
      <c r="F153" s="209">
        <f>'concentrado nocturno'!L65</f>
        <v>0</v>
      </c>
      <c r="G153" s="209">
        <f>'concentrado nocturno'!M65</f>
        <v>0</v>
      </c>
      <c r="H153" s="209">
        <f>'concentrado nocturno'!N65</f>
        <v>0</v>
      </c>
      <c r="I153" s="209">
        <f>'concentrado nocturno'!O65</f>
        <v>0</v>
      </c>
      <c r="J153" s="209" t="str">
        <f>'concentrado nocturno'!P65</f>
        <v>A235</v>
      </c>
      <c r="K153" s="193"/>
    </row>
    <row r="154" spans="1:11" ht="39.950000000000003" customHeight="1">
      <c r="A154" s="189">
        <f t="shared" si="10"/>
        <v>312</v>
      </c>
      <c r="B154" s="189" t="str">
        <f t="shared" si="10"/>
        <v>231-14</v>
      </c>
      <c r="C154" s="189" t="str">
        <f t="shared" si="10"/>
        <v>Mecatronica</v>
      </c>
      <c r="D154" s="189">
        <f t="shared" si="10"/>
        <v>0</v>
      </c>
      <c r="E154" s="209">
        <f>'concentrado nocturno'!K66</f>
        <v>0</v>
      </c>
      <c r="F154" s="209" t="str">
        <f>'concentrado nocturno'!L66</f>
        <v>2387 CC</v>
      </c>
      <c r="G154" s="209">
        <f>'concentrado nocturno'!M66</f>
        <v>1865</v>
      </c>
      <c r="H154" s="209">
        <f>'concentrado nocturno'!N66</f>
        <v>2453</v>
      </c>
      <c r="I154" s="209">
        <f>'concentrado nocturno'!O66</f>
        <v>0</v>
      </c>
      <c r="J154" s="209">
        <f>'concentrado nocturno'!P66</f>
        <v>0</v>
      </c>
      <c r="K154" s="193"/>
    </row>
    <row r="155" spans="1:11" ht="39.950000000000003" customHeight="1">
      <c r="A155" s="189">
        <f t="shared" si="10"/>
        <v>313</v>
      </c>
      <c r="B155" s="189" t="str">
        <f t="shared" si="10"/>
        <v>731-13/831-14</v>
      </c>
      <c r="C155" s="189" t="str">
        <f t="shared" si="10"/>
        <v>Industrial</v>
      </c>
      <c r="D155" s="189" t="str">
        <f t="shared" si="10"/>
        <v>5AN</v>
      </c>
      <c r="E155" s="209">
        <f>'concentrado nocturno'!K67</f>
        <v>0</v>
      </c>
      <c r="F155" s="209">
        <f>'concentrado nocturno'!L67</f>
        <v>0</v>
      </c>
      <c r="G155" s="209">
        <f>'concentrado nocturno'!M67</f>
        <v>0</v>
      </c>
      <c r="H155" s="209" t="str">
        <f>'concentrado nocturno'!N67</f>
        <v>A225</v>
      </c>
      <c r="I155" s="209" t="str">
        <f>'concentrado nocturno'!O67</f>
        <v>A225</v>
      </c>
      <c r="J155" s="209">
        <f>'concentrado nocturno'!P67</f>
        <v>964</v>
      </c>
      <c r="K155" s="193"/>
    </row>
    <row r="156" spans="1:11" ht="39.950000000000003" customHeight="1">
      <c r="A156" s="189">
        <f t="shared" si="10"/>
        <v>314</v>
      </c>
      <c r="B156" s="189" t="str">
        <f t="shared" si="10"/>
        <v>1031-13/1131-14</v>
      </c>
      <c r="C156" s="189" t="str">
        <f t="shared" si="10"/>
        <v>Mecatronica</v>
      </c>
      <c r="D156" s="189">
        <f t="shared" si="10"/>
        <v>0</v>
      </c>
      <c r="E156" s="209">
        <f>'concentrado nocturno'!K68</f>
        <v>0</v>
      </c>
      <c r="F156" s="209">
        <f>'concentrado nocturno'!L68</f>
        <v>0</v>
      </c>
      <c r="G156" s="209">
        <f>'concentrado nocturno'!M68</f>
        <v>0</v>
      </c>
      <c r="H156" s="209">
        <f>'concentrado nocturno'!N68</f>
        <v>0</v>
      </c>
      <c r="I156" s="209">
        <f>'concentrado nocturno'!O68</f>
        <v>0</v>
      </c>
      <c r="J156" s="209">
        <f>'concentrado nocturno'!P68</f>
        <v>1602</v>
      </c>
      <c r="K156" s="193"/>
    </row>
    <row r="157" spans="1:11" ht="39.950000000000003" customHeight="1">
      <c r="A157" s="189">
        <f t="shared" si="10"/>
        <v>315</v>
      </c>
      <c r="B157" s="189" t="str">
        <f t="shared" si="10"/>
        <v>531-14</v>
      </c>
      <c r="C157" s="189" t="str">
        <f t="shared" si="10"/>
        <v>Industrial</v>
      </c>
      <c r="D157" s="189">
        <f t="shared" si="10"/>
        <v>0</v>
      </c>
      <c r="E157" s="209">
        <f>'concentrado nocturno'!K69</f>
        <v>0</v>
      </c>
      <c r="F157" s="209">
        <f>'concentrado nocturno'!L69</f>
        <v>0</v>
      </c>
      <c r="G157" s="209">
        <f>'concentrado nocturno'!M69</f>
        <v>0</v>
      </c>
      <c r="H157" s="209">
        <f>'concentrado nocturno'!N69</f>
        <v>0</v>
      </c>
      <c r="I157" s="209">
        <f>'concentrado nocturno'!O69</f>
        <v>0</v>
      </c>
      <c r="J157" s="209">
        <f>'concentrado nocturno'!P69</f>
        <v>1579</v>
      </c>
      <c r="K157" s="193"/>
    </row>
    <row r="158" spans="1:11" ht="39.950000000000003" customHeight="1">
      <c r="A158" s="189">
        <f t="shared" si="10"/>
        <v>316</v>
      </c>
      <c r="B158" s="189" t="str">
        <f t="shared" si="10"/>
        <v>231-14</v>
      </c>
      <c r="C158" s="189" t="str">
        <f t="shared" si="10"/>
        <v>FINANZAS</v>
      </c>
      <c r="D158" s="189">
        <f t="shared" si="10"/>
        <v>0</v>
      </c>
      <c r="E158" s="209">
        <f>'concentrado nocturno'!K70</f>
        <v>0</v>
      </c>
      <c r="F158" s="209">
        <f>'concentrado nocturno'!L70</f>
        <v>0</v>
      </c>
      <c r="G158" s="209">
        <f>'concentrado nocturno'!M70</f>
        <v>0</v>
      </c>
      <c r="H158" s="209" t="str">
        <f>'concentrado nocturno'!N70</f>
        <v>S 009</v>
      </c>
      <c r="I158" s="209">
        <f>'concentrado nocturno'!O70</f>
        <v>1990</v>
      </c>
      <c r="J158" s="209">
        <f>'concentrado nocturno'!P70</f>
        <v>2448</v>
      </c>
      <c r="K158" s="193"/>
    </row>
    <row r="159" spans="1:11" ht="39.950000000000003" customHeight="1">
      <c r="A159" s="189">
        <f t="shared" si="10"/>
        <v>0</v>
      </c>
      <c r="B159" s="189">
        <f t="shared" si="10"/>
        <v>0</v>
      </c>
      <c r="C159" s="189">
        <f t="shared" si="10"/>
        <v>0</v>
      </c>
      <c r="D159" s="189">
        <f t="shared" si="10"/>
        <v>0</v>
      </c>
      <c r="E159" s="214"/>
      <c r="F159" s="215"/>
      <c r="G159" s="216"/>
      <c r="H159" s="217"/>
      <c r="I159" s="215"/>
      <c r="J159" s="216"/>
      <c r="K159" s="193"/>
    </row>
    <row r="160" spans="1:11" ht="39.950000000000003" customHeight="1">
      <c r="A160" s="183"/>
      <c r="B160" s="183"/>
      <c r="C160" s="183"/>
      <c r="D160" s="183"/>
      <c r="E160" s="183"/>
      <c r="F160" s="183"/>
      <c r="G160" s="206"/>
      <c r="H160" s="218"/>
      <c r="I160" s="193"/>
      <c r="J160" s="193"/>
      <c r="K160" s="193"/>
    </row>
    <row r="161" spans="1:11" ht="39.950000000000003" customHeight="1">
      <c r="A161" s="388" t="str">
        <f>A137</f>
        <v>REGISTRO DIARIO DE INCIDENCIAS</v>
      </c>
      <c r="B161" s="389"/>
      <c r="C161" s="389"/>
      <c r="D161" s="389"/>
      <c r="E161" s="389"/>
      <c r="F161" s="389"/>
      <c r="G161" s="389"/>
      <c r="H161" s="389"/>
      <c r="I161" s="389"/>
      <c r="J161" s="390"/>
      <c r="K161" s="193"/>
    </row>
    <row r="162" spans="1:11" ht="39.950000000000003" customHeight="1">
      <c r="A162" s="391" t="str">
        <f>A138</f>
        <v>PERIODO ENERO- ABRIL 2026</v>
      </c>
      <c r="B162" s="392"/>
      <c r="C162" s="392"/>
      <c r="D162" s="392"/>
      <c r="E162" s="392"/>
      <c r="F162" s="392"/>
      <c r="G162" s="392"/>
      <c r="H162" s="392"/>
      <c r="I162" s="392"/>
      <c r="J162" s="393"/>
      <c r="K162" s="193"/>
    </row>
    <row r="163" spans="1:11" ht="39.950000000000003" customHeight="1">
      <c r="A163" s="394" t="str">
        <f>A139</f>
        <v>TURNOS: VESP Y NOCTURNO</v>
      </c>
      <c r="B163" s="395"/>
      <c r="C163" s="395"/>
      <c r="D163" s="396">
        <f>FECHAS!D10</f>
        <v>46085</v>
      </c>
      <c r="E163" s="396"/>
      <c r="F163" s="396"/>
      <c r="G163" s="395" t="str">
        <f>G139</f>
        <v xml:space="preserve">SEM 9 LIC </v>
      </c>
      <c r="H163" s="395"/>
      <c r="I163" s="395"/>
      <c r="J163" s="397"/>
      <c r="K163" s="193"/>
    </row>
    <row r="164" spans="1:11" ht="39.950000000000003" customHeight="1">
      <c r="A164" s="190" t="str">
        <f t="shared" ref="A164:J164" si="17">A140</f>
        <v>Aula</v>
      </c>
      <c r="B164" s="190" t="str">
        <f t="shared" si="17"/>
        <v>Gpo.</v>
      </c>
      <c r="C164" s="190" t="str">
        <f t="shared" si="17"/>
        <v>Licenciatura</v>
      </c>
      <c r="D164" s="190" t="str">
        <f t="shared" si="17"/>
        <v>Op</v>
      </c>
      <c r="E164" s="190" t="str">
        <f t="shared" si="17"/>
        <v>16:00</v>
      </c>
      <c r="F164" s="190" t="str">
        <f t="shared" si="17"/>
        <v>17:00</v>
      </c>
      <c r="G164" s="190" t="str">
        <f t="shared" si="17"/>
        <v>18:00</v>
      </c>
      <c r="H164" s="190" t="str">
        <f t="shared" si="17"/>
        <v>19:00</v>
      </c>
      <c r="I164" s="190" t="str">
        <f t="shared" si="17"/>
        <v>20:00</v>
      </c>
      <c r="J164" s="190" t="str">
        <f t="shared" si="17"/>
        <v>21:00</v>
      </c>
      <c r="K164" s="193"/>
    </row>
    <row r="165" spans="1:11" ht="39.950000000000003" customHeight="1">
      <c r="A165" s="164" t="str">
        <f t="shared" ref="A165:D187" si="18">A86</f>
        <v>CC1</v>
      </c>
      <c r="B165" s="165">
        <f t="shared" si="18"/>
        <v>0</v>
      </c>
      <c r="C165" s="169">
        <f t="shared" si="18"/>
        <v>0</v>
      </c>
      <c r="D165" s="219">
        <f t="shared" si="18"/>
        <v>0</v>
      </c>
      <c r="E165" s="209">
        <f>'concentrado nocturno'!Q6</f>
        <v>0</v>
      </c>
      <c r="F165" s="209">
        <f>'concentrado nocturno'!R6</f>
        <v>0</v>
      </c>
      <c r="G165" s="209">
        <f>'concentrado nocturno'!S6</f>
        <v>2130</v>
      </c>
      <c r="H165" s="209">
        <f>'concentrado nocturno'!T6</f>
        <v>2130</v>
      </c>
      <c r="I165" s="209">
        <f>'concentrado nocturno'!U6</f>
        <v>0</v>
      </c>
      <c r="J165" s="209">
        <f>'concentrado nocturno'!V6</f>
        <v>0</v>
      </c>
      <c r="K165" s="193"/>
    </row>
    <row r="166" spans="1:11" ht="39.950000000000003" customHeight="1">
      <c r="A166" s="169" t="str">
        <f t="shared" si="18"/>
        <v>CC2</v>
      </c>
      <c r="B166" s="169">
        <f t="shared" si="18"/>
        <v>0</v>
      </c>
      <c r="C166" s="169">
        <f t="shared" si="18"/>
        <v>0</v>
      </c>
      <c r="D166" s="169">
        <f t="shared" si="18"/>
        <v>0</v>
      </c>
      <c r="E166" s="209">
        <f>'concentrado nocturno'!Q7</f>
        <v>634</v>
      </c>
      <c r="F166" s="209">
        <f>'concentrado nocturno'!R7</f>
        <v>634</v>
      </c>
      <c r="G166" s="209">
        <f>'concentrado nocturno'!S7</f>
        <v>634</v>
      </c>
      <c r="H166" s="209">
        <f>'concentrado nocturno'!T7</f>
        <v>1517</v>
      </c>
      <c r="I166" s="209">
        <f>'concentrado nocturno'!U7</f>
        <v>634</v>
      </c>
      <c r="J166" s="209">
        <f>'concentrado nocturno'!V7</f>
        <v>634</v>
      </c>
      <c r="K166" s="193"/>
    </row>
    <row r="167" spans="1:11" ht="39.950000000000003" customHeight="1">
      <c r="A167" s="169" t="str">
        <f t="shared" si="18"/>
        <v>CC3</v>
      </c>
      <c r="B167" s="169">
        <f t="shared" si="18"/>
        <v>0</v>
      </c>
      <c r="C167" s="169">
        <f t="shared" si="18"/>
        <v>0</v>
      </c>
      <c r="D167" s="169">
        <f t="shared" si="18"/>
        <v>0</v>
      </c>
      <c r="E167" s="209">
        <f>'concentrado nocturno'!Q8</f>
        <v>0</v>
      </c>
      <c r="F167" s="209" t="str">
        <f>'concentrado nocturno'!R8</f>
        <v>A97</v>
      </c>
      <c r="G167" s="209" t="str">
        <f>'concentrado nocturno'!S8</f>
        <v>A97</v>
      </c>
      <c r="H167" s="209">
        <f>'concentrado nocturno'!T8</f>
        <v>1035</v>
      </c>
      <c r="I167" s="209">
        <f>'concentrado nocturno'!U8</f>
        <v>1836</v>
      </c>
      <c r="J167" s="209">
        <f>'concentrado nocturno'!V8</f>
        <v>1836</v>
      </c>
      <c r="K167" s="193"/>
    </row>
    <row r="168" spans="1:11" ht="39.950000000000003" customHeight="1">
      <c r="A168" s="169" t="str">
        <f t="shared" si="18"/>
        <v>CC4</v>
      </c>
      <c r="B168" s="169">
        <f t="shared" si="18"/>
        <v>0</v>
      </c>
      <c r="C168" s="169">
        <f t="shared" si="18"/>
        <v>0</v>
      </c>
      <c r="D168" s="169">
        <f t="shared" si="18"/>
        <v>0</v>
      </c>
      <c r="E168" s="209">
        <f>'concentrado nocturno'!Q9</f>
        <v>1228</v>
      </c>
      <c r="F168" s="209">
        <f>'concentrado nocturno'!R9</f>
        <v>0</v>
      </c>
      <c r="G168" s="209" t="str">
        <f>'concentrado nocturno'!S9</f>
        <v>A38</v>
      </c>
      <c r="H168" s="209">
        <f>'concentrado nocturno'!T9</f>
        <v>2448</v>
      </c>
      <c r="I168" s="209">
        <f>'concentrado nocturno'!U9</f>
        <v>1517</v>
      </c>
      <c r="J168" s="209">
        <f>'concentrado nocturno'!V9</f>
        <v>0</v>
      </c>
      <c r="K168" s="193"/>
    </row>
    <row r="169" spans="1:11" ht="39.950000000000003" customHeight="1">
      <c r="A169" s="169" t="str">
        <f t="shared" si="18"/>
        <v>CC5</v>
      </c>
      <c r="B169" s="169">
        <f t="shared" si="18"/>
        <v>0</v>
      </c>
      <c r="C169" s="169">
        <f t="shared" si="18"/>
        <v>0</v>
      </c>
      <c r="D169" s="169">
        <f t="shared" si="18"/>
        <v>0</v>
      </c>
      <c r="E169" s="209">
        <f>'concentrado nocturno'!Q10</f>
        <v>0</v>
      </c>
      <c r="F169" s="209">
        <f>'concentrado nocturno'!R10</f>
        <v>0</v>
      </c>
      <c r="G169" s="209">
        <f>'concentrado nocturno'!S10</f>
        <v>0</v>
      </c>
      <c r="H169" s="209">
        <f>'concentrado nocturno'!T10</f>
        <v>0</v>
      </c>
      <c r="I169" s="209">
        <f>'concentrado nocturno'!U10</f>
        <v>0</v>
      </c>
      <c r="J169" s="209">
        <f>'concentrado nocturno'!V10</f>
        <v>0</v>
      </c>
      <c r="K169" s="193"/>
    </row>
    <row r="170" spans="1:11" ht="39.950000000000003" customHeight="1">
      <c r="A170" s="169">
        <f t="shared" si="18"/>
        <v>1</v>
      </c>
      <c r="B170" s="169" t="str">
        <f t="shared" si="18"/>
        <v>421-13/521-14</v>
      </c>
      <c r="C170" s="169" t="str">
        <f t="shared" si="18"/>
        <v>Psicologia</v>
      </c>
      <c r="D170" s="169" t="str">
        <f t="shared" si="18"/>
        <v>11DV, 8AN, 5BN</v>
      </c>
      <c r="E170" s="209">
        <f>'concentrado nocturno'!Q11</f>
        <v>0</v>
      </c>
      <c r="F170" s="209">
        <f>'concentrado nocturno'!R11</f>
        <v>2396</v>
      </c>
      <c r="G170" s="209" t="str">
        <f>'concentrado nocturno'!S11</f>
        <v>A234</v>
      </c>
      <c r="H170" s="209">
        <f>'concentrado nocturno'!T11</f>
        <v>2223</v>
      </c>
      <c r="I170" s="209">
        <f>'concentrado nocturno'!U11</f>
        <v>2223</v>
      </c>
      <c r="J170" s="209">
        <f>'concentrado nocturno'!V11</f>
        <v>0</v>
      </c>
      <c r="K170" s="193"/>
    </row>
    <row r="171" spans="1:11" ht="39.950000000000003" customHeight="1">
      <c r="A171" s="169">
        <f t="shared" si="18"/>
        <v>2</v>
      </c>
      <c r="B171" s="169" t="str">
        <f t="shared" si="18"/>
        <v>721-8-821-9</v>
      </c>
      <c r="C171" s="169" t="str">
        <f t="shared" si="18"/>
        <v>Psicologia</v>
      </c>
      <c r="D171" s="169">
        <f t="shared" si="18"/>
        <v>0</v>
      </c>
      <c r="E171" s="209">
        <f>'concentrado nocturno'!Q12</f>
        <v>2325</v>
      </c>
      <c r="F171" s="209" t="str">
        <f>'concentrado nocturno'!R12</f>
        <v>A121</v>
      </c>
      <c r="G171" s="209">
        <f>'concentrado nocturno'!S12</f>
        <v>2396</v>
      </c>
      <c r="H171" s="209">
        <f>'concentrado nocturno'!T12</f>
        <v>382</v>
      </c>
      <c r="I171" s="209" t="str">
        <f>'concentrado nocturno'!U12</f>
        <v>634 CC</v>
      </c>
      <c r="J171" s="209">
        <f>'concentrado nocturno'!V12</f>
        <v>0</v>
      </c>
      <c r="K171" s="193"/>
    </row>
    <row r="172" spans="1:11" ht="39.950000000000003" customHeight="1">
      <c r="A172" s="169">
        <f t="shared" si="18"/>
        <v>2</v>
      </c>
      <c r="B172" s="169" t="str">
        <f t="shared" si="18"/>
        <v>421-13/521-14</v>
      </c>
      <c r="C172" s="169" t="str">
        <f t="shared" si="18"/>
        <v>Compu</v>
      </c>
      <c r="D172" s="169">
        <f t="shared" si="18"/>
        <v>0</v>
      </c>
      <c r="E172" s="209">
        <f>'concentrado nocturno'!Q13</f>
        <v>436</v>
      </c>
      <c r="F172" s="209">
        <f>'concentrado nocturno'!R13</f>
        <v>436</v>
      </c>
      <c r="G172" s="209" t="str">
        <f>'concentrado nocturno'!S13</f>
        <v>A161</v>
      </c>
      <c r="H172" s="209">
        <f>'concentrado nocturno'!T13</f>
        <v>0</v>
      </c>
      <c r="I172" s="209">
        <f>'concentrado nocturno'!U13</f>
        <v>0</v>
      </c>
      <c r="J172" s="209">
        <f>'concentrado nocturno'!V13</f>
        <v>0</v>
      </c>
      <c r="K172" s="193"/>
    </row>
    <row r="173" spans="1:11" ht="39.950000000000003" customHeight="1">
      <c r="A173" s="169">
        <f t="shared" si="18"/>
        <v>3</v>
      </c>
      <c r="B173" s="169" t="str">
        <f t="shared" si="18"/>
        <v>221-14</v>
      </c>
      <c r="C173" s="169" t="str">
        <f t="shared" si="18"/>
        <v>Psicologia</v>
      </c>
      <c r="D173" s="169" t="str">
        <f t="shared" si="18"/>
        <v>8CN</v>
      </c>
      <c r="E173" s="209">
        <f>'concentrado nocturno'!Q14</f>
        <v>2396</v>
      </c>
      <c r="F173" s="209" t="str">
        <f>'concentrado nocturno'!R14</f>
        <v>A114</v>
      </c>
      <c r="G173" s="209" t="str">
        <f>'concentrado nocturno'!S14</f>
        <v>A114</v>
      </c>
      <c r="H173" s="209">
        <f>'concentrado nocturno'!T14</f>
        <v>0</v>
      </c>
      <c r="I173" s="209">
        <f>'concentrado nocturno'!U14</f>
        <v>0</v>
      </c>
      <c r="J173" s="209">
        <f>'concentrado nocturno'!V14</f>
        <v>0</v>
      </c>
      <c r="K173" s="193"/>
    </row>
    <row r="174" spans="1:11" ht="39.950000000000003" customHeight="1">
      <c r="A174" s="169">
        <f t="shared" si="18"/>
        <v>3</v>
      </c>
      <c r="B174" s="169" t="str">
        <f t="shared" si="18"/>
        <v>1031-13/1131-14</v>
      </c>
      <c r="C174" s="169" t="str">
        <f t="shared" si="18"/>
        <v>Psicologia</v>
      </c>
      <c r="D174" s="169">
        <f t="shared" si="18"/>
        <v>0</v>
      </c>
      <c r="E174" s="209">
        <f>'concentrado nocturno'!Q15</f>
        <v>0</v>
      </c>
      <c r="F174" s="209">
        <f>'concentrado nocturno'!R15</f>
        <v>0</v>
      </c>
      <c r="G174" s="209">
        <f>'concentrado nocturno'!S15</f>
        <v>0</v>
      </c>
      <c r="H174" s="209">
        <f>'concentrado nocturno'!T15</f>
        <v>2396</v>
      </c>
      <c r="I174" s="209">
        <f>'concentrado nocturno'!U15</f>
        <v>2396</v>
      </c>
      <c r="J174" s="209" t="str">
        <f>'concentrado nocturno'!V15</f>
        <v>A121</v>
      </c>
      <c r="K174" s="193"/>
    </row>
    <row r="175" spans="1:11" ht="39.950000000000003" customHeight="1">
      <c r="A175" s="169">
        <f t="shared" si="18"/>
        <v>4</v>
      </c>
      <c r="B175" s="169" t="str">
        <f t="shared" si="18"/>
        <v>531-14</v>
      </c>
      <c r="C175" s="169" t="str">
        <f t="shared" si="18"/>
        <v>FINANZAS</v>
      </c>
      <c r="D175" s="169">
        <f t="shared" si="18"/>
        <v>0</v>
      </c>
      <c r="E175" s="209">
        <f>'concentrado nocturno'!Q16</f>
        <v>0</v>
      </c>
      <c r="F175" s="209">
        <f>'concentrado nocturno'!R16</f>
        <v>0</v>
      </c>
      <c r="G175" s="209">
        <f>'concentrado nocturno'!S16</f>
        <v>0</v>
      </c>
      <c r="H175" s="209" t="str">
        <f>'concentrado nocturno'!T16</f>
        <v>A166</v>
      </c>
      <c r="I175" s="209" t="str">
        <f>'concentrado nocturno'!U16</f>
        <v>A97</v>
      </c>
      <c r="J175" s="209" t="str">
        <f>'concentrado nocturno'!V16</f>
        <v>1836 CC</v>
      </c>
      <c r="K175" s="193"/>
    </row>
    <row r="176" spans="1:11" ht="39.950000000000003" customHeight="1">
      <c r="A176" s="169">
        <f t="shared" si="18"/>
        <v>4</v>
      </c>
      <c r="B176" s="169" t="str">
        <f t="shared" si="18"/>
        <v>821-14</v>
      </c>
      <c r="C176" s="169" t="str">
        <f t="shared" si="18"/>
        <v>Psicologia</v>
      </c>
      <c r="D176" s="169">
        <f t="shared" si="18"/>
        <v>0</v>
      </c>
      <c r="E176" s="209">
        <f>'concentrado nocturno'!Q17</f>
        <v>2517</v>
      </c>
      <c r="F176" s="209">
        <f>'concentrado nocturno'!R17</f>
        <v>1846</v>
      </c>
      <c r="G176" s="209">
        <f>'concentrado nocturno'!S17</f>
        <v>1846</v>
      </c>
      <c r="H176" s="209">
        <f>'concentrado nocturno'!T17</f>
        <v>0</v>
      </c>
      <c r="I176" s="209">
        <f>'concentrado nocturno'!U17</f>
        <v>0</v>
      </c>
      <c r="J176" s="209">
        <f>'concentrado nocturno'!V17</f>
        <v>0</v>
      </c>
      <c r="K176" s="193"/>
    </row>
    <row r="177" spans="1:11" ht="39.950000000000003" customHeight="1">
      <c r="A177" s="169">
        <f t="shared" si="18"/>
        <v>5</v>
      </c>
      <c r="B177" s="169" t="str">
        <f t="shared" si="18"/>
        <v>721-8/821-9</v>
      </c>
      <c r="C177" s="169" t="str">
        <f t="shared" si="18"/>
        <v>Civil</v>
      </c>
      <c r="D177" s="169" t="str">
        <f t="shared" si="18"/>
        <v>2BV</v>
      </c>
      <c r="E177" s="209">
        <f>'concentrado nocturno'!Q18</f>
        <v>1887</v>
      </c>
      <c r="F177" s="209" t="str">
        <f>'concentrado nocturno'!R18</f>
        <v>A43</v>
      </c>
      <c r="G177" s="209">
        <f>'concentrado nocturno'!S18</f>
        <v>1152</v>
      </c>
      <c r="H177" s="209">
        <f>'concentrado nocturno'!T18</f>
        <v>2231</v>
      </c>
      <c r="I177" s="209">
        <f>'concentrado nocturno'!U18</f>
        <v>2231</v>
      </c>
      <c r="J177" s="209">
        <f>'concentrado nocturno'!V18</f>
        <v>0</v>
      </c>
      <c r="K177" s="193"/>
    </row>
    <row r="178" spans="1:11" ht="39.950000000000003" customHeight="1">
      <c r="A178" s="169">
        <f t="shared" si="18"/>
        <v>7</v>
      </c>
      <c r="B178" s="169" t="str">
        <f t="shared" si="18"/>
        <v>721-8/821-9</v>
      </c>
      <c r="C178" s="169" t="str">
        <f t="shared" si="18"/>
        <v>FINANZAS</v>
      </c>
      <c r="D178" s="169">
        <f t="shared" si="18"/>
        <v>0</v>
      </c>
      <c r="E178" s="209" t="str">
        <f>'concentrado nocturno'!Q19</f>
        <v>A99</v>
      </c>
      <c r="F178" s="209" t="str">
        <f>'concentrado nocturno'!R19</f>
        <v>A96</v>
      </c>
      <c r="G178" s="209">
        <f>'concentrado nocturno'!S19</f>
        <v>2040</v>
      </c>
      <c r="H178" s="209" t="str">
        <f>'concentrado nocturno'!T19</f>
        <v>A228</v>
      </c>
      <c r="I178" s="209" t="str">
        <f>'concentrado nocturno'!U19</f>
        <v>A228</v>
      </c>
      <c r="J178" s="209">
        <f>'concentrado nocturno'!V19</f>
        <v>0</v>
      </c>
      <c r="K178" s="193"/>
    </row>
    <row r="179" spans="1:11" ht="39.950000000000003" customHeight="1">
      <c r="A179" s="169">
        <f t="shared" si="18"/>
        <v>8</v>
      </c>
      <c r="B179" s="169" t="str">
        <f t="shared" si="18"/>
        <v>821-9</v>
      </c>
      <c r="C179" s="169" t="str">
        <f t="shared" si="18"/>
        <v>Negocios</v>
      </c>
      <c r="D179" s="169" t="str">
        <f t="shared" si="18"/>
        <v>2AV</v>
      </c>
      <c r="E179" s="209" t="str">
        <f>'concentrado nocturno'!Q20</f>
        <v>A234</v>
      </c>
      <c r="F179" s="209" t="str">
        <f>'concentrado nocturno'!R20</f>
        <v>A234</v>
      </c>
      <c r="G179" s="209" t="str">
        <f>'concentrado nocturno'!S20</f>
        <v>A230</v>
      </c>
      <c r="H179" s="209" t="str">
        <f>'concentrado nocturno'!T20</f>
        <v>A230</v>
      </c>
      <c r="I179" s="209">
        <f>'concentrado nocturno'!U20</f>
        <v>2312</v>
      </c>
      <c r="J179" s="209">
        <f>'concentrado nocturno'!V20</f>
        <v>0</v>
      </c>
      <c r="K179" s="193"/>
    </row>
    <row r="180" spans="1:11" ht="39.950000000000003" customHeight="1">
      <c r="A180" s="169">
        <f t="shared" si="18"/>
        <v>9</v>
      </c>
      <c r="B180" s="169" t="str">
        <f t="shared" si="18"/>
        <v>221-9</v>
      </c>
      <c r="C180" s="169" t="str">
        <f t="shared" si="18"/>
        <v>FINANZAS</v>
      </c>
      <c r="D180" s="169" t="str">
        <f t="shared" si="18"/>
        <v>5DV</v>
      </c>
      <c r="E180" s="209">
        <f>'concentrado nocturno'!Q21</f>
        <v>0</v>
      </c>
      <c r="F180" s="209">
        <f>'concentrado nocturno'!R21</f>
        <v>2451</v>
      </c>
      <c r="G180" s="209">
        <f>'concentrado nocturno'!S21</f>
        <v>2451</v>
      </c>
      <c r="H180" s="209" t="str">
        <f>'concentrado nocturno'!T21</f>
        <v>A96</v>
      </c>
      <c r="I180" s="209" t="str">
        <f>'concentrado nocturno'!U21</f>
        <v>1836 cc</v>
      </c>
      <c r="J180" s="209">
        <f>'concentrado nocturno'!V21</f>
        <v>0</v>
      </c>
      <c r="K180" s="193"/>
    </row>
    <row r="181" spans="1:11" ht="39.950000000000003" customHeight="1">
      <c r="A181" s="169">
        <f t="shared" si="18"/>
        <v>101</v>
      </c>
      <c r="B181" s="169" t="str">
        <f t="shared" si="18"/>
        <v>221-9</v>
      </c>
      <c r="C181" s="169" t="str">
        <f t="shared" si="18"/>
        <v>Civil</v>
      </c>
      <c r="D181" s="169" t="str">
        <f t="shared" si="18"/>
        <v>2CV</v>
      </c>
      <c r="E181" s="209" t="str">
        <f>'concentrado nocturno'!Q22</f>
        <v>634 CC</v>
      </c>
      <c r="F181" s="209" t="str">
        <f>'concentrado nocturno'!R22</f>
        <v>634 CC</v>
      </c>
      <c r="G181" s="209" t="str">
        <f>'concentrado nocturno'!S22</f>
        <v>634 CC</v>
      </c>
      <c r="H181" s="209" t="str">
        <f>'concentrado nocturno'!T22</f>
        <v>1502 S 103</v>
      </c>
      <c r="I181" s="209" t="str">
        <f>'concentrado nocturno'!U22</f>
        <v>1502 S  103</v>
      </c>
      <c r="J181" s="209">
        <f>'concentrado nocturno'!V22</f>
        <v>0</v>
      </c>
      <c r="K181" s="193"/>
    </row>
    <row r="182" spans="1:11" ht="39.950000000000003" customHeight="1">
      <c r="A182" s="169">
        <f t="shared" si="18"/>
        <v>102</v>
      </c>
      <c r="B182" s="169" t="str">
        <f t="shared" si="18"/>
        <v>531-14</v>
      </c>
      <c r="C182" s="169" t="str">
        <f t="shared" si="18"/>
        <v>Civil</v>
      </c>
      <c r="D182" s="169">
        <f t="shared" si="18"/>
        <v>0</v>
      </c>
      <c r="E182" s="209">
        <f>'concentrado nocturno'!Q23</f>
        <v>0</v>
      </c>
      <c r="F182" s="209">
        <f>'concentrado nocturno'!R23</f>
        <v>0</v>
      </c>
      <c r="G182" s="209">
        <f>'concentrado nocturno'!S23</f>
        <v>0</v>
      </c>
      <c r="H182" s="209">
        <f>'concentrado nocturno'!T23</f>
        <v>2401</v>
      </c>
      <c r="I182" s="209">
        <f>'concentrado nocturno'!U23</f>
        <v>2401</v>
      </c>
      <c r="J182" s="209" t="str">
        <f>'concentrado nocturno'!V23</f>
        <v>A169</v>
      </c>
      <c r="K182" s="193"/>
    </row>
    <row r="183" spans="1:11" ht="39.950000000000003" customHeight="1">
      <c r="A183" s="169">
        <f t="shared" si="18"/>
        <v>102</v>
      </c>
      <c r="B183" s="169" t="str">
        <f t="shared" si="18"/>
        <v>521-14</v>
      </c>
      <c r="C183" s="169" t="str">
        <f t="shared" si="18"/>
        <v>Civil</v>
      </c>
      <c r="D183" s="169" t="str">
        <f t="shared" si="18"/>
        <v>8BV, 5CN</v>
      </c>
      <c r="E183" s="209" t="str">
        <f>'concentrado nocturno'!Q24</f>
        <v>A183</v>
      </c>
      <c r="F183" s="209" t="str">
        <f>'concentrado nocturno'!R24</f>
        <v>A136</v>
      </c>
      <c r="G183" s="209" t="str">
        <f>'concentrado nocturno'!S24</f>
        <v>A136</v>
      </c>
      <c r="H183" s="209">
        <f>'concentrado nocturno'!T24</f>
        <v>0</v>
      </c>
      <c r="I183" s="209">
        <f>'concentrado nocturno'!U24</f>
        <v>0</v>
      </c>
      <c r="J183" s="209">
        <f>'concentrado nocturno'!V24</f>
        <v>0</v>
      </c>
      <c r="K183" s="193"/>
    </row>
    <row r="184" spans="1:11" ht="39.950000000000003" customHeight="1">
      <c r="A184" s="169">
        <f t="shared" si="18"/>
        <v>103</v>
      </c>
      <c r="B184" s="169" t="str">
        <f t="shared" si="18"/>
        <v>821-14</v>
      </c>
      <c r="C184" s="169" t="str">
        <f t="shared" si="18"/>
        <v>Civil</v>
      </c>
      <c r="D184" s="169" t="str">
        <f t="shared" si="18"/>
        <v>5AV, 8BN</v>
      </c>
      <c r="E184" s="209">
        <f>'concentrado nocturno'!Q25</f>
        <v>1384</v>
      </c>
      <c r="F184" s="209">
        <f>'concentrado nocturno'!R25</f>
        <v>2476</v>
      </c>
      <c r="G184" s="209">
        <f>'concentrado nocturno'!S25</f>
        <v>2476</v>
      </c>
      <c r="H184" s="209">
        <f>'concentrado nocturno'!T25</f>
        <v>0</v>
      </c>
      <c r="I184" s="209" t="str">
        <f>'concentrado nocturno'!U25</f>
        <v>A260 S101</v>
      </c>
      <c r="J184" s="209" t="str">
        <f>'concentrado nocturno'!V25</f>
        <v>A260 S101</v>
      </c>
      <c r="K184" s="193"/>
    </row>
    <row r="185" spans="1:11" ht="39.950000000000003" customHeight="1">
      <c r="A185" s="169">
        <f t="shared" si="18"/>
        <v>103</v>
      </c>
      <c r="B185" s="169" t="str">
        <f t="shared" si="18"/>
        <v>1131-14</v>
      </c>
      <c r="C185" s="169" t="str">
        <f t="shared" si="18"/>
        <v>Civil</v>
      </c>
      <c r="D185" s="169">
        <f t="shared" si="18"/>
        <v>0</v>
      </c>
      <c r="E185" s="209">
        <f>'concentrado nocturno'!Q26</f>
        <v>0</v>
      </c>
      <c r="F185" s="209">
        <f>'concentrado nocturno'!R26</f>
        <v>0</v>
      </c>
      <c r="G185" s="209">
        <f>'concentrado nocturno'!S26</f>
        <v>0</v>
      </c>
      <c r="H185" s="209" t="str">
        <f>'concentrado nocturno'!T26</f>
        <v>A169</v>
      </c>
      <c r="I185" s="209">
        <f>'concentrado nocturno'!U26</f>
        <v>0</v>
      </c>
      <c r="J185" s="209">
        <f>'concentrado nocturno'!V26</f>
        <v>0</v>
      </c>
      <c r="K185" s="193"/>
    </row>
    <row r="186" spans="1:11" ht="39.950000000000003" customHeight="1">
      <c r="A186" s="169">
        <f t="shared" si="18"/>
        <v>104</v>
      </c>
      <c r="B186" s="169" t="str">
        <f t="shared" si="18"/>
        <v>521-9</v>
      </c>
      <c r="C186" s="169" t="str">
        <f t="shared" si="18"/>
        <v>Negocios</v>
      </c>
      <c r="D186" s="169" t="str">
        <f t="shared" si="18"/>
        <v>8DV</v>
      </c>
      <c r="E186" s="209" t="str">
        <f>'concentrado nocturno'!Q27</f>
        <v>S 201</v>
      </c>
      <c r="F186" s="209">
        <f>'concentrado nocturno'!R27</f>
        <v>0</v>
      </c>
      <c r="G186" s="209">
        <f>'concentrado nocturno'!S27</f>
        <v>0</v>
      </c>
      <c r="H186" s="209">
        <f>'concentrado nocturno'!T27</f>
        <v>2472</v>
      </c>
      <c r="I186" s="209">
        <f>'concentrado nocturno'!U27</f>
        <v>2166</v>
      </c>
      <c r="J186" s="209">
        <f>'concentrado nocturno'!V27</f>
        <v>0</v>
      </c>
      <c r="K186" s="193"/>
    </row>
    <row r="187" spans="1:11" ht="39.950000000000003" customHeight="1">
      <c r="A187" s="169">
        <f t="shared" si="18"/>
        <v>0</v>
      </c>
      <c r="B187" s="169">
        <f t="shared" si="18"/>
        <v>0</v>
      </c>
      <c r="C187" s="169">
        <f t="shared" si="18"/>
        <v>0</v>
      </c>
      <c r="D187" s="169">
        <f t="shared" si="18"/>
        <v>0</v>
      </c>
      <c r="E187" s="209"/>
      <c r="F187" s="209"/>
      <c r="G187" s="209"/>
      <c r="H187" s="209"/>
      <c r="I187" s="209"/>
      <c r="J187" s="209"/>
      <c r="K187" s="193"/>
    </row>
    <row r="188" spans="1:11" ht="39.950000000000003" customHeight="1">
      <c r="A188" s="388" t="str">
        <f>A161</f>
        <v>REGISTRO DIARIO DE INCIDENCIAS</v>
      </c>
      <c r="B188" s="389"/>
      <c r="C188" s="389"/>
      <c r="D188" s="389"/>
      <c r="E188" s="389"/>
      <c r="F188" s="389"/>
      <c r="G188" s="389"/>
      <c r="H188" s="389"/>
      <c r="I188" s="389"/>
      <c r="J188" s="390"/>
      <c r="K188" s="193"/>
    </row>
    <row r="189" spans="1:11" ht="39.950000000000003" customHeight="1">
      <c r="A189" s="391" t="str">
        <f>A162</f>
        <v>PERIODO ENERO- ABRIL 2026</v>
      </c>
      <c r="B189" s="392"/>
      <c r="C189" s="392"/>
      <c r="D189" s="392"/>
      <c r="E189" s="392"/>
      <c r="F189" s="392"/>
      <c r="G189" s="392"/>
      <c r="H189" s="392"/>
      <c r="I189" s="392"/>
      <c r="J189" s="393"/>
      <c r="K189" s="193"/>
    </row>
    <row r="190" spans="1:11" ht="39.950000000000003" customHeight="1">
      <c r="A190" s="394" t="str">
        <f>A163</f>
        <v>TURNOS: VESP Y NOCTURNO</v>
      </c>
      <c r="B190" s="395"/>
      <c r="C190" s="395"/>
      <c r="D190" s="396">
        <f>D163</f>
        <v>46085</v>
      </c>
      <c r="E190" s="396"/>
      <c r="F190" s="396"/>
      <c r="G190" s="395" t="str">
        <f>G163</f>
        <v xml:space="preserve">SEM 9 LIC </v>
      </c>
      <c r="H190" s="395"/>
      <c r="I190" s="395"/>
      <c r="J190" s="397"/>
      <c r="K190" s="193"/>
    </row>
    <row r="191" spans="1:11" ht="39.950000000000003" customHeight="1">
      <c r="A191" s="190" t="str">
        <f t="shared" ref="A191:J191" si="19">A164</f>
        <v>Aula</v>
      </c>
      <c r="B191" s="190" t="str">
        <f t="shared" si="19"/>
        <v>Gpo.</v>
      </c>
      <c r="C191" s="190" t="str">
        <f t="shared" si="19"/>
        <v>Licenciatura</v>
      </c>
      <c r="D191" s="190" t="str">
        <f t="shared" si="19"/>
        <v>Op</v>
      </c>
      <c r="E191" s="190" t="str">
        <f t="shared" si="19"/>
        <v>16:00</v>
      </c>
      <c r="F191" s="190" t="str">
        <f t="shared" si="19"/>
        <v>17:00</v>
      </c>
      <c r="G191" s="190" t="str">
        <f t="shared" si="19"/>
        <v>18:00</v>
      </c>
      <c r="H191" s="190" t="str">
        <f t="shared" si="19"/>
        <v>19:00</v>
      </c>
      <c r="I191" s="190" t="str">
        <f t="shared" si="19"/>
        <v>20:00</v>
      </c>
      <c r="J191" s="190" t="str">
        <f t="shared" si="19"/>
        <v>21:00</v>
      </c>
      <c r="K191" s="193"/>
    </row>
    <row r="192" spans="1:11" ht="39.950000000000003" customHeight="1">
      <c r="A192" s="189">
        <f t="shared" ref="A192:D205" si="20">A113</f>
        <v>201</v>
      </c>
      <c r="B192" s="220" t="str">
        <f t="shared" si="20"/>
        <v>1431-14</v>
      </c>
      <c r="C192" s="220" t="str">
        <f t="shared" si="20"/>
        <v>Civil</v>
      </c>
      <c r="D192" s="221" t="str">
        <f t="shared" si="20"/>
        <v>8AV, 5BV</v>
      </c>
      <c r="E192" s="209" t="str">
        <f>'concentrado nocturno'!Q28</f>
        <v>1567 S 301</v>
      </c>
      <c r="F192" s="209" t="str">
        <f>'concentrado nocturno'!R28</f>
        <v>A78</v>
      </c>
      <c r="G192" s="209" t="str">
        <f>'concentrado nocturno'!S28</f>
        <v>A78</v>
      </c>
      <c r="H192" s="209" t="str">
        <f>'concentrado nocturno'!T28</f>
        <v>A145</v>
      </c>
      <c r="I192" s="209">
        <f>'concentrado nocturno'!U28</f>
        <v>2338</v>
      </c>
      <c r="J192" s="209">
        <f>'concentrado nocturno'!V28</f>
        <v>2338</v>
      </c>
      <c r="K192" s="193"/>
    </row>
    <row r="193" spans="1:11" ht="39.950000000000003" customHeight="1">
      <c r="A193" s="222">
        <f t="shared" si="20"/>
        <v>202</v>
      </c>
      <c r="B193" s="222" t="str">
        <f t="shared" si="20"/>
        <v>831-14</v>
      </c>
      <c r="C193" s="222" t="str">
        <f t="shared" si="20"/>
        <v>Psicologia</v>
      </c>
      <c r="D193" s="222">
        <f t="shared" si="20"/>
        <v>0</v>
      </c>
      <c r="E193" s="209">
        <f>'concentrado nocturno'!Q29</f>
        <v>0</v>
      </c>
      <c r="F193" s="209">
        <f>'concentrado nocturno'!R29</f>
        <v>0</v>
      </c>
      <c r="G193" s="209">
        <f>'concentrado nocturno'!S29</f>
        <v>0</v>
      </c>
      <c r="H193" s="209">
        <f>'concentrado nocturno'!T29</f>
        <v>0</v>
      </c>
      <c r="I193" s="209">
        <f>'concentrado nocturno'!U29</f>
        <v>0</v>
      </c>
      <c r="J193" s="209">
        <f>'concentrado nocturno'!V29</f>
        <v>2166</v>
      </c>
      <c r="K193" s="193"/>
    </row>
    <row r="194" spans="1:11" ht="39.950000000000003" customHeight="1">
      <c r="A194" s="222">
        <f t="shared" si="20"/>
        <v>204</v>
      </c>
      <c r="B194" s="222" t="str">
        <f t="shared" si="20"/>
        <v>731-13/831-14</v>
      </c>
      <c r="C194" s="222" t="str">
        <f t="shared" si="20"/>
        <v>Electro</v>
      </c>
      <c r="D194" s="222">
        <f t="shared" si="20"/>
        <v>0</v>
      </c>
      <c r="E194" s="209">
        <f>'concentrado nocturno'!Q31</f>
        <v>0</v>
      </c>
      <c r="F194" s="209">
        <f>'concentrado nocturno'!R31</f>
        <v>0</v>
      </c>
      <c r="G194" s="209" t="str">
        <f>'concentrado nocturno'!S31</f>
        <v>1567 s315</v>
      </c>
      <c r="H194" s="209">
        <f>'concentrado nocturno'!T31</f>
        <v>0</v>
      </c>
      <c r="I194" s="209">
        <f>'concentrado nocturno'!U31</f>
        <v>0</v>
      </c>
      <c r="J194" s="209" t="str">
        <f>'concentrado nocturno'!V31</f>
        <v>A79</v>
      </c>
      <c r="K194" s="193"/>
    </row>
    <row r="195" spans="1:11" ht="39.950000000000003" customHeight="1" thickTop="1" thickBot="1">
      <c r="A195" s="222">
        <f t="shared" si="20"/>
        <v>205</v>
      </c>
      <c r="B195" s="222" t="str">
        <f t="shared" si="20"/>
        <v>1121-14</v>
      </c>
      <c r="C195" s="222" t="str">
        <f t="shared" si="20"/>
        <v>Psicologia</v>
      </c>
      <c r="D195" s="222" t="str">
        <f t="shared" si="20"/>
        <v>8CV, 2BN</v>
      </c>
      <c r="E195" s="209">
        <f>'concentrado nocturno'!Q32</f>
        <v>2372</v>
      </c>
      <c r="F195" s="209">
        <f>'concentrado nocturno'!R32</f>
        <v>382</v>
      </c>
      <c r="G195" s="209">
        <f>'concentrado nocturno'!S32</f>
        <v>382</v>
      </c>
      <c r="H195" s="209">
        <f>'concentrado nocturno'!T32</f>
        <v>0</v>
      </c>
      <c r="I195" s="209">
        <f>'concentrado nocturno'!U32</f>
        <v>0</v>
      </c>
      <c r="J195" s="209">
        <f>'concentrado nocturno'!V32</f>
        <v>0</v>
      </c>
      <c r="K195" s="193"/>
    </row>
    <row r="196" spans="1:11" ht="39.950000000000003" hidden="1" customHeight="1">
      <c r="A196" s="222">
        <f t="shared" si="20"/>
        <v>205</v>
      </c>
      <c r="B196" s="222">
        <f t="shared" si="20"/>
        <v>0</v>
      </c>
      <c r="C196" s="222">
        <f t="shared" si="20"/>
        <v>0</v>
      </c>
      <c r="D196" s="222">
        <f t="shared" si="20"/>
        <v>0</v>
      </c>
      <c r="E196" s="209" t="str">
        <f>'concentrado nocturno'!Q33</f>
        <v xml:space="preserve"> </v>
      </c>
      <c r="F196" s="209">
        <f>'concentrado nocturno'!R33</f>
        <v>0</v>
      </c>
      <c r="G196" s="209">
        <f>'concentrado nocturno'!S33</f>
        <v>0</v>
      </c>
      <c r="H196" s="209">
        <f>'concentrado nocturno'!T33</f>
        <v>0</v>
      </c>
      <c r="I196" s="209">
        <f>'concentrado nocturno'!U33</f>
        <v>0</v>
      </c>
      <c r="J196" s="209">
        <f>'concentrado nocturno'!V33</f>
        <v>0</v>
      </c>
      <c r="K196" s="193"/>
    </row>
    <row r="197" spans="1:11" ht="39.950000000000003" customHeight="1" thickTop="1" thickBot="1">
      <c r="A197" s="222">
        <f t="shared" si="20"/>
        <v>206</v>
      </c>
      <c r="B197" s="222" t="str">
        <f t="shared" si="20"/>
        <v>231-14</v>
      </c>
      <c r="C197" s="222" t="str">
        <f t="shared" si="20"/>
        <v>Civil</v>
      </c>
      <c r="D197" s="222">
        <f t="shared" si="20"/>
        <v>0</v>
      </c>
      <c r="E197" s="209">
        <f>'concentrado nocturno'!Q34</f>
        <v>0</v>
      </c>
      <c r="F197" s="209">
        <f>'concentrado nocturno'!R34</f>
        <v>0</v>
      </c>
      <c r="G197" s="209">
        <f>'concentrado nocturno'!S34</f>
        <v>0</v>
      </c>
      <c r="H197" s="209">
        <f>'concentrado nocturno'!T34</f>
        <v>848</v>
      </c>
      <c r="I197" s="209">
        <f>'concentrado nocturno'!U34</f>
        <v>848</v>
      </c>
      <c r="J197" s="209" t="str">
        <f>'concentrado nocturno'!V34</f>
        <v>634 CC</v>
      </c>
      <c r="K197" s="193"/>
    </row>
    <row r="198" spans="1:11" ht="39.950000000000003" customHeight="1" thickTop="1" thickBot="1">
      <c r="A198" s="222">
        <f t="shared" si="20"/>
        <v>207</v>
      </c>
      <c r="B198" s="222" t="str">
        <f t="shared" si="20"/>
        <v>231-14</v>
      </c>
      <c r="C198" s="222" t="str">
        <f t="shared" si="20"/>
        <v>Psicologia</v>
      </c>
      <c r="D198" s="222">
        <f t="shared" si="20"/>
        <v>0</v>
      </c>
      <c r="E198" s="209">
        <f>'concentrado nocturno'!Q35</f>
        <v>0</v>
      </c>
      <c r="F198" s="209">
        <f>'concentrado nocturno'!R35</f>
        <v>0</v>
      </c>
      <c r="G198" s="209">
        <f>'concentrado nocturno'!S35</f>
        <v>0</v>
      </c>
      <c r="H198" s="209">
        <f>'concentrado nocturno'!T35</f>
        <v>2390</v>
      </c>
      <c r="I198" s="209" t="str">
        <f>'concentrado nocturno'!U35</f>
        <v>A234</v>
      </c>
      <c r="J198" s="209" t="str">
        <f>'concentrado nocturno'!V35</f>
        <v>A234</v>
      </c>
      <c r="K198" s="193"/>
    </row>
    <row r="199" spans="1:11" ht="39.950000000000003" customHeight="1">
      <c r="A199" s="222">
        <f t="shared" si="20"/>
        <v>209</v>
      </c>
      <c r="B199" s="222" t="str">
        <f t="shared" si="20"/>
        <v>1331-13/1431-14</v>
      </c>
      <c r="C199" s="222" t="str">
        <f t="shared" si="20"/>
        <v>Industrial</v>
      </c>
      <c r="D199" s="222">
        <f t="shared" si="20"/>
        <v>0</v>
      </c>
      <c r="E199" s="209">
        <f>'concentrado nocturno'!Q37</f>
        <v>964</v>
      </c>
      <c r="F199" s="209">
        <f>'concentrado nocturno'!R37</f>
        <v>1567</v>
      </c>
      <c r="G199" s="209">
        <f>'concentrado nocturno'!S37</f>
        <v>0</v>
      </c>
      <c r="H199" s="209" t="str">
        <f>'concentrado nocturno'!T37</f>
        <v>A95</v>
      </c>
      <c r="I199" s="209" t="str">
        <f>'concentrado nocturno'!U37</f>
        <v>A95</v>
      </c>
      <c r="J199" s="209" t="str">
        <f>'concentrado nocturno'!V37</f>
        <v>A182</v>
      </c>
      <c r="K199" s="193"/>
    </row>
    <row r="200" spans="1:11" ht="39.950000000000003" customHeight="1">
      <c r="A200" s="222">
        <f t="shared" si="20"/>
        <v>208</v>
      </c>
      <c r="B200" s="222" t="str">
        <f t="shared" si="20"/>
        <v>821-9</v>
      </c>
      <c r="C200" s="222" t="str">
        <f t="shared" si="20"/>
        <v>Industrial</v>
      </c>
      <c r="D200" s="222">
        <f t="shared" si="20"/>
        <v>0</v>
      </c>
      <c r="E200" s="209" t="str">
        <f>'concentrado nocturno'!Q36</f>
        <v>S 209</v>
      </c>
      <c r="F200" s="209" t="str">
        <f>'concentrado nocturno'!R36</f>
        <v>S 209</v>
      </c>
      <c r="G200" s="209" t="str">
        <f>'concentrado nocturno'!S36</f>
        <v>2130 CC</v>
      </c>
      <c r="H200" s="209" t="str">
        <f>'concentrado nocturno'!T36</f>
        <v>2130 CC</v>
      </c>
      <c r="I200" s="209">
        <f>'concentrado nocturno'!U36</f>
        <v>1562</v>
      </c>
      <c r="J200" s="209">
        <f>'concentrado nocturno'!V36</f>
        <v>0</v>
      </c>
      <c r="K200" s="193"/>
    </row>
    <row r="201" spans="1:11" ht="39.950000000000003" customHeight="1">
      <c r="A201" s="222">
        <f t="shared" si="20"/>
        <v>210</v>
      </c>
      <c r="B201" s="222" t="str">
        <f t="shared" si="20"/>
        <v>121-13</v>
      </c>
      <c r="C201" s="222" t="str">
        <f t="shared" si="20"/>
        <v>Psicologia</v>
      </c>
      <c r="D201" s="222">
        <f t="shared" si="20"/>
        <v>0</v>
      </c>
      <c r="E201" s="209">
        <f>'concentrado nocturno'!Q38</f>
        <v>0</v>
      </c>
      <c r="F201" s="209">
        <f>'concentrado nocturno'!R38</f>
        <v>0</v>
      </c>
      <c r="G201" s="209">
        <f>'concentrado nocturno'!S38</f>
        <v>0</v>
      </c>
      <c r="H201" s="209" t="str">
        <f>'concentrado nocturno'!T38</f>
        <v>A231</v>
      </c>
      <c r="I201" s="209" t="str">
        <f>'concentrado nocturno'!U38</f>
        <v>A231</v>
      </c>
      <c r="J201" s="209">
        <f>'concentrado nocturno'!V38</f>
        <v>0</v>
      </c>
      <c r="K201" s="193"/>
    </row>
    <row r="202" spans="1:11" ht="39.950000000000003" customHeight="1">
      <c r="A202" s="222">
        <f t="shared" si="20"/>
        <v>211</v>
      </c>
      <c r="B202" s="222" t="str">
        <f t="shared" si="20"/>
        <v>1431-14</v>
      </c>
      <c r="C202" s="222" t="str">
        <f t="shared" si="20"/>
        <v>FINANZAS</v>
      </c>
      <c r="D202" s="222">
        <f t="shared" si="20"/>
        <v>0</v>
      </c>
      <c r="E202" s="209">
        <f>'concentrado nocturno'!Q39</f>
        <v>0</v>
      </c>
      <c r="F202" s="209">
        <f>'concentrado nocturno'!R39</f>
        <v>0</v>
      </c>
      <c r="G202" s="209">
        <f>'concentrado nocturno'!S39</f>
        <v>0</v>
      </c>
      <c r="H202" s="209" t="str">
        <f>'concentrado nocturno'!T39</f>
        <v>2448 CC</v>
      </c>
      <c r="I202" s="209" t="str">
        <f>'concentrado nocturno'!U39</f>
        <v>A166</v>
      </c>
      <c r="J202" s="209">
        <f>'concentrado nocturno'!V39</f>
        <v>1990</v>
      </c>
      <c r="K202" s="193"/>
    </row>
    <row r="203" spans="1:11" ht="39.950000000000003" customHeight="1">
      <c r="A203" s="222">
        <f t="shared" si="20"/>
        <v>211</v>
      </c>
      <c r="B203" s="222" t="str">
        <f t="shared" si="20"/>
        <v>1421-14</v>
      </c>
      <c r="C203" s="222" t="str">
        <f t="shared" si="20"/>
        <v>Psicologia</v>
      </c>
      <c r="D203" s="222">
        <f t="shared" si="20"/>
        <v>0</v>
      </c>
      <c r="E203" s="209">
        <f>'concentrado nocturno'!Q40</f>
        <v>1303</v>
      </c>
      <c r="F203" s="209">
        <f>'concentrado nocturno'!R40</f>
        <v>1303</v>
      </c>
      <c r="G203" s="209" t="str">
        <f>'concentrado nocturno'!S40</f>
        <v>A121</v>
      </c>
      <c r="H203" s="209">
        <f>'concentrado nocturno'!T40</f>
        <v>0</v>
      </c>
      <c r="I203" s="209">
        <f>'concentrado nocturno'!U40</f>
        <v>0</v>
      </c>
      <c r="J203" s="209">
        <f>'concentrado nocturno'!V40</f>
        <v>0</v>
      </c>
      <c r="K203" s="193"/>
    </row>
    <row r="204" spans="1:11" ht="39.950000000000003" customHeight="1" thickTop="1" thickBot="1">
      <c r="A204" s="222">
        <f t="shared" si="20"/>
        <v>212</v>
      </c>
      <c r="B204" s="222" t="str">
        <f t="shared" si="20"/>
        <v>421-8</v>
      </c>
      <c r="C204" s="222" t="str">
        <f t="shared" si="20"/>
        <v>Industrial</v>
      </c>
      <c r="D204" s="222">
        <f t="shared" si="20"/>
        <v>0</v>
      </c>
      <c r="E204" s="209" t="str">
        <f>'concentrado nocturno'!Q41</f>
        <v>S. 301-A</v>
      </c>
      <c r="F204" s="209">
        <f>'concentrado nocturno'!R41</f>
        <v>0</v>
      </c>
      <c r="G204" s="209">
        <f>'concentrado nocturno'!S41</f>
        <v>0</v>
      </c>
      <c r="H204" s="209" t="str">
        <f>'concentrado nocturno'!T41</f>
        <v>S. 301-A</v>
      </c>
      <c r="I204" s="209" t="str">
        <f>'concentrado nocturno'!U41</f>
        <v>S. 301-A</v>
      </c>
      <c r="J204" s="209">
        <f>'concentrado nocturno'!V41</f>
        <v>1581</v>
      </c>
      <c r="K204" s="193"/>
    </row>
    <row r="205" spans="1:11" ht="39.950000000000003" customHeight="1" thickTop="1" thickBot="1">
      <c r="A205" s="222">
        <f>+'concentrado nocturno'!A42</f>
        <v>212</v>
      </c>
      <c r="B205" s="222">
        <f>+'concentrado nocturno'!B42</f>
        <v>0</v>
      </c>
      <c r="C205" s="222">
        <f>+'concentrado nocturno'!C42</f>
        <v>0</v>
      </c>
      <c r="D205" s="222">
        <f t="shared" si="20"/>
        <v>0</v>
      </c>
      <c r="E205" s="209">
        <f>'concentrado nocturno'!Q42</f>
        <v>0</v>
      </c>
      <c r="F205" s="209">
        <f>'concentrado nocturno'!R42</f>
        <v>0</v>
      </c>
      <c r="G205" s="209">
        <f>'concentrado nocturno'!S42</f>
        <v>0</v>
      </c>
      <c r="H205" s="209">
        <f>'concentrado nocturno'!T42</f>
        <v>2455</v>
      </c>
      <c r="I205" s="209">
        <f>'concentrado nocturno'!U42</f>
        <v>2455</v>
      </c>
      <c r="J205" s="209">
        <f>'concentrado nocturno'!V42</f>
        <v>0</v>
      </c>
      <c r="K205" s="193"/>
    </row>
    <row r="206" spans="1:11" ht="39.950000000000003" customHeight="1" thickTop="1" thickBot="1">
      <c r="A206" s="222">
        <f t="shared" ref="A206:D215" si="21">A126</f>
        <v>213</v>
      </c>
      <c r="B206" s="222" t="str">
        <f t="shared" si="21"/>
        <v>521-14</v>
      </c>
      <c r="C206" s="222" t="str">
        <f t="shared" si="21"/>
        <v>FINANZAS</v>
      </c>
      <c r="D206" s="222">
        <f t="shared" si="21"/>
        <v>0</v>
      </c>
      <c r="E206" s="209" t="str">
        <f>'concentrado nocturno'!Q43</f>
        <v>1228 cc</v>
      </c>
      <c r="F206" s="209" t="str">
        <f>'concentrado nocturno'!R43</f>
        <v>A97 CC</v>
      </c>
      <c r="G206" s="209" t="str">
        <f>'concentrado nocturno'!S43</f>
        <v>A166</v>
      </c>
      <c r="H206" s="209">
        <f>'concentrado nocturno'!T43</f>
        <v>0</v>
      </c>
      <c r="I206" s="209">
        <f>'concentrado nocturno'!U43</f>
        <v>0</v>
      </c>
      <c r="J206" s="209">
        <f>'concentrado nocturno'!V43</f>
        <v>0</v>
      </c>
      <c r="K206" s="193"/>
    </row>
    <row r="207" spans="1:11" ht="39.950000000000003" customHeight="1">
      <c r="A207" s="222">
        <f t="shared" si="21"/>
        <v>214</v>
      </c>
      <c r="B207" s="222">
        <f t="shared" si="21"/>
        <v>0</v>
      </c>
      <c r="C207" s="222">
        <f t="shared" si="21"/>
        <v>0</v>
      </c>
      <c r="D207" s="222">
        <f t="shared" si="21"/>
        <v>0</v>
      </c>
      <c r="E207" s="209">
        <f>'concentrado nocturno'!Q44</f>
        <v>0</v>
      </c>
      <c r="F207" s="209">
        <f>'concentrado nocturno'!R44</f>
        <v>0</v>
      </c>
      <c r="G207" s="209">
        <f>'concentrado nocturno'!S44</f>
        <v>0</v>
      </c>
      <c r="H207" s="209">
        <f>'concentrado nocturno'!T44</f>
        <v>0</v>
      </c>
      <c r="I207" s="209">
        <f>'concentrado nocturno'!U44</f>
        <v>0</v>
      </c>
      <c r="J207" s="209">
        <f>'concentrado nocturno'!V44</f>
        <v>0</v>
      </c>
      <c r="K207" s="193"/>
    </row>
    <row r="208" spans="1:11" ht="39.950000000000003" customHeight="1">
      <c r="A208" s="222">
        <f t="shared" si="21"/>
        <v>215</v>
      </c>
      <c r="B208" s="222" t="str">
        <f t="shared" si="21"/>
        <v>1421-14</v>
      </c>
      <c r="C208" s="222" t="str">
        <f t="shared" si="21"/>
        <v>Compu</v>
      </c>
      <c r="D208" s="222">
        <f t="shared" si="21"/>
        <v>0</v>
      </c>
      <c r="E208" s="209">
        <f>'concentrado nocturno'!Q45</f>
        <v>0</v>
      </c>
      <c r="F208" s="209" t="str">
        <f>'concentrado nocturno'!R45</f>
        <v>A99</v>
      </c>
      <c r="G208" s="209" t="str">
        <f>'concentrado nocturno'!S45</f>
        <v>A99</v>
      </c>
      <c r="H208" s="209" t="str">
        <f>'concentrado nocturno'!T45</f>
        <v>1035 CC</v>
      </c>
      <c r="I208" s="209">
        <f>'concentrado nocturno'!U45</f>
        <v>0</v>
      </c>
      <c r="J208" s="209">
        <f>'concentrado nocturno'!V45</f>
        <v>0</v>
      </c>
      <c r="K208" s="193"/>
    </row>
    <row r="209" spans="1:11" ht="39.950000000000003" customHeight="1">
      <c r="A209" s="222">
        <f t="shared" si="21"/>
        <v>216</v>
      </c>
      <c r="B209" s="222" t="str">
        <f t="shared" si="21"/>
        <v>821-14</v>
      </c>
      <c r="C209" s="222" t="str">
        <f t="shared" si="21"/>
        <v>Mecatronica</v>
      </c>
      <c r="D209" s="222">
        <f t="shared" si="21"/>
        <v>0</v>
      </c>
      <c r="E209" s="209">
        <f>'concentrado nocturno'!Q46</f>
        <v>0</v>
      </c>
      <c r="F209" s="209">
        <f>'concentrado nocturno'!R46</f>
        <v>0</v>
      </c>
      <c r="G209" s="209">
        <f>'concentrado nocturno'!S46</f>
        <v>0</v>
      </c>
      <c r="H209" s="209">
        <f>'concentrado nocturno'!T46</f>
        <v>0</v>
      </c>
      <c r="I209" s="209">
        <f>'concentrado nocturno'!U46</f>
        <v>0</v>
      </c>
      <c r="J209" s="209">
        <f>'concentrado nocturno'!V46</f>
        <v>0</v>
      </c>
      <c r="K209" s="193"/>
    </row>
    <row r="210" spans="1:11" ht="39.950000000000003" customHeight="1">
      <c r="A210" s="222">
        <f t="shared" si="21"/>
        <v>217</v>
      </c>
      <c r="B210" s="222">
        <f t="shared" si="21"/>
        <v>0</v>
      </c>
      <c r="C210" s="222">
        <f t="shared" si="21"/>
        <v>0</v>
      </c>
      <c r="D210" s="222">
        <f t="shared" si="21"/>
        <v>0</v>
      </c>
      <c r="E210" s="209">
        <f>'concentrado nocturno'!Q47</f>
        <v>0</v>
      </c>
      <c r="F210" s="209">
        <f>'concentrado nocturno'!R47</f>
        <v>0</v>
      </c>
      <c r="G210" s="209">
        <f>'concentrado nocturno'!S47</f>
        <v>0</v>
      </c>
      <c r="H210" s="209">
        <f>'concentrado nocturno'!T47</f>
        <v>0</v>
      </c>
      <c r="I210" s="209">
        <f>'concentrado nocturno'!U47</f>
        <v>0</v>
      </c>
      <c r="J210" s="209">
        <f>'concentrado nocturno'!V47</f>
        <v>0</v>
      </c>
      <c r="K210" s="193"/>
    </row>
    <row r="211" spans="1:11" ht="39.950000000000003" customHeight="1" thickTop="1" thickBot="1">
      <c r="A211" s="222">
        <f t="shared" si="21"/>
        <v>218</v>
      </c>
      <c r="B211" s="222" t="str">
        <f t="shared" si="21"/>
        <v>1031-13/1131-14</v>
      </c>
      <c r="C211" s="222" t="str">
        <f t="shared" si="21"/>
        <v>Industrial</v>
      </c>
      <c r="D211" s="222">
        <f t="shared" si="21"/>
        <v>0</v>
      </c>
      <c r="E211" s="209">
        <f>'concentrado nocturno'!Q48</f>
        <v>0</v>
      </c>
      <c r="F211" s="209">
        <f>'concentrado nocturno'!R48</f>
        <v>0</v>
      </c>
      <c r="G211" s="209">
        <f>'concentrado nocturno'!S48</f>
        <v>0</v>
      </c>
      <c r="H211" s="209">
        <f>'concentrado nocturno'!T48</f>
        <v>98</v>
      </c>
      <c r="I211" s="209" t="str">
        <f>'concentrado nocturno'!U48</f>
        <v>A103</v>
      </c>
      <c r="J211" s="209" t="str">
        <f>'concentrado nocturno'!V48</f>
        <v>A103</v>
      </c>
      <c r="K211" s="193"/>
    </row>
    <row r="212" spans="1:11" ht="39.950000000000003" customHeight="1" thickTop="1" thickBot="1">
      <c r="A212" s="222" t="str">
        <f t="shared" si="21"/>
        <v>219-A</v>
      </c>
      <c r="B212" s="222" t="str">
        <f t="shared" si="21"/>
        <v>521-9</v>
      </c>
      <c r="C212" s="222" t="str">
        <f t="shared" si="21"/>
        <v>Mecatronica</v>
      </c>
      <c r="D212" s="222">
        <f t="shared" si="21"/>
        <v>0</v>
      </c>
      <c r="E212" s="209" t="str">
        <f>'concentrado nocturno'!Q49</f>
        <v>S 201</v>
      </c>
      <c r="F212" s="209">
        <f>'concentrado nocturno'!R49</f>
        <v>0</v>
      </c>
      <c r="G212" s="209">
        <f>'concentrado nocturno'!S49</f>
        <v>0</v>
      </c>
      <c r="H212" s="209" t="str">
        <f>'concentrado nocturno'!T49</f>
        <v>A242 cc</v>
      </c>
      <c r="I212" s="209" t="str">
        <f>'concentrado nocturno'!U49</f>
        <v>A242 cc</v>
      </c>
      <c r="J212" s="209">
        <f>'concentrado nocturno'!V49</f>
        <v>0</v>
      </c>
      <c r="K212" s="193"/>
    </row>
    <row r="213" spans="1:11" ht="39.950000000000003" customHeight="1" thickTop="1" thickBot="1">
      <c r="A213" s="222">
        <f t="shared" si="21"/>
        <v>219</v>
      </c>
      <c r="B213" s="222">
        <f t="shared" si="21"/>
        <v>0</v>
      </c>
      <c r="C213" s="222">
        <f t="shared" si="21"/>
        <v>0</v>
      </c>
      <c r="D213" s="222">
        <f t="shared" si="21"/>
        <v>0</v>
      </c>
      <c r="E213" s="209">
        <f>'concentrado nocturno'!Q50</f>
        <v>0</v>
      </c>
      <c r="F213" s="209">
        <f>'concentrado nocturno'!R50</f>
        <v>0</v>
      </c>
      <c r="G213" s="209">
        <f>'concentrado nocturno'!S50</f>
        <v>0</v>
      </c>
      <c r="H213" s="209">
        <f>'concentrado nocturno'!T50</f>
        <v>1246</v>
      </c>
      <c r="I213" s="209">
        <f>'concentrado nocturno'!U50</f>
        <v>1246</v>
      </c>
      <c r="J213" s="209">
        <f>'concentrado nocturno'!V50</f>
        <v>0</v>
      </c>
      <c r="K213" s="193"/>
    </row>
    <row r="214" spans="1:11" ht="39.950000000000003" customHeight="1">
      <c r="A214" s="222">
        <f t="shared" si="21"/>
        <v>220</v>
      </c>
      <c r="B214" s="222" t="str">
        <f t="shared" si="21"/>
        <v>1031-13/1131-14</v>
      </c>
      <c r="C214" s="222" t="str">
        <f t="shared" si="21"/>
        <v>Compu</v>
      </c>
      <c r="D214" s="222">
        <f t="shared" si="21"/>
        <v>0</v>
      </c>
      <c r="E214" s="209">
        <f>'concentrado nocturno'!Q51</f>
        <v>0</v>
      </c>
      <c r="F214" s="209">
        <f>'concentrado nocturno'!R51</f>
        <v>0</v>
      </c>
      <c r="G214" s="209" t="str">
        <f>'concentrado nocturno'!S51</f>
        <v>A38 CC</v>
      </c>
      <c r="H214" s="209" t="str">
        <f>'concentrado nocturno'!T51</f>
        <v>1517 CC</v>
      </c>
      <c r="I214" s="209" t="str">
        <f>'concentrado nocturno'!U51</f>
        <v>1517 CC</v>
      </c>
      <c r="J214" s="209">
        <f>'concentrado nocturno'!V51</f>
        <v>0</v>
      </c>
      <c r="K214" s="193"/>
    </row>
    <row r="215" spans="1:11" ht="39.950000000000003" customHeight="1" thickTop="1">
      <c r="A215" s="222">
        <f t="shared" si="21"/>
        <v>221</v>
      </c>
      <c r="B215" s="222" t="str">
        <f t="shared" si="21"/>
        <v>731-13/831-14</v>
      </c>
      <c r="C215" s="222" t="str">
        <f t="shared" si="21"/>
        <v>Compu</v>
      </c>
      <c r="D215" s="222">
        <f t="shared" si="21"/>
        <v>0</v>
      </c>
      <c r="E215" s="209">
        <f>'concentrado nocturno'!Q52</f>
        <v>0</v>
      </c>
      <c r="F215" s="209">
        <f>'concentrado nocturno'!R52</f>
        <v>0</v>
      </c>
      <c r="G215" s="209" t="str">
        <f>'concentrado nocturno'!S52</f>
        <v>1567 s315</v>
      </c>
      <c r="H215" s="209">
        <f>'concentrado nocturno'!T52</f>
        <v>0</v>
      </c>
      <c r="I215" s="209">
        <f>'concentrado nocturno'!U52</f>
        <v>0</v>
      </c>
      <c r="J215" s="209">
        <f>'concentrado nocturno'!V52</f>
        <v>0</v>
      </c>
      <c r="K215" s="193"/>
    </row>
    <row r="216" spans="1:11" ht="39.950000000000003" customHeight="1" thickBot="1">
      <c r="A216" s="183"/>
      <c r="B216" s="183"/>
      <c r="C216" s="183"/>
      <c r="D216" s="183"/>
      <c r="E216" s="224"/>
      <c r="F216" s="224"/>
      <c r="G216" s="224"/>
      <c r="H216" s="224"/>
      <c r="I216" s="224"/>
      <c r="J216" s="193"/>
      <c r="K216" s="193"/>
    </row>
    <row r="217" spans="1:11" ht="39.950000000000003" customHeight="1">
      <c r="A217" s="388" t="str">
        <f>A188</f>
        <v>REGISTRO DIARIO DE INCIDENCIAS</v>
      </c>
      <c r="B217" s="389"/>
      <c r="C217" s="389"/>
      <c r="D217" s="389"/>
      <c r="E217" s="389"/>
      <c r="F217" s="389"/>
      <c r="G217" s="389"/>
      <c r="H217" s="389"/>
      <c r="I217" s="389"/>
      <c r="J217" s="390"/>
      <c r="K217" s="193"/>
    </row>
    <row r="218" spans="1:11" ht="39.950000000000003" customHeight="1">
      <c r="A218" s="391" t="str">
        <f>A189</f>
        <v>PERIODO ENERO- ABRIL 2026</v>
      </c>
      <c r="B218" s="392"/>
      <c r="C218" s="392"/>
      <c r="D218" s="392"/>
      <c r="E218" s="392"/>
      <c r="F218" s="392"/>
      <c r="G218" s="392"/>
      <c r="H218" s="392"/>
      <c r="I218" s="392"/>
      <c r="J218" s="393"/>
      <c r="K218" s="193"/>
    </row>
    <row r="219" spans="1:11" ht="39.950000000000003" customHeight="1">
      <c r="A219" s="394" t="str">
        <f>A190</f>
        <v>TURNOS: VESP Y NOCTURNO</v>
      </c>
      <c r="B219" s="395"/>
      <c r="C219" s="395"/>
      <c r="D219" s="396">
        <f>D190</f>
        <v>46085</v>
      </c>
      <c r="E219" s="396"/>
      <c r="F219" s="396"/>
      <c r="G219" s="395" t="str">
        <f>G190</f>
        <v xml:space="preserve">SEM 9 LIC </v>
      </c>
      <c r="H219" s="395"/>
      <c r="I219" s="395"/>
      <c r="J219" s="397"/>
      <c r="K219" s="193"/>
    </row>
    <row r="220" spans="1:11" ht="39.950000000000003" customHeight="1">
      <c r="A220" s="190" t="str">
        <f>A191</f>
        <v>Aula</v>
      </c>
      <c r="B220" s="190" t="str">
        <f>B191</f>
        <v>Gpo.</v>
      </c>
      <c r="C220" s="190" t="str">
        <f>C191</f>
        <v>Licenciatura</v>
      </c>
      <c r="D220" s="190" t="str">
        <f>D191</f>
        <v>Op</v>
      </c>
      <c r="E220" s="190" t="str">
        <f>E191</f>
        <v>16:00</v>
      </c>
      <c r="F220" s="190" t="str">
        <f>F191</f>
        <v>17:00</v>
      </c>
      <c r="G220" s="190" t="str">
        <f>G191</f>
        <v>18:00</v>
      </c>
      <c r="H220" s="190" t="str">
        <f>H191</f>
        <v>19:00</v>
      </c>
      <c r="I220" s="190" t="str">
        <f>I191</f>
        <v>20:00</v>
      </c>
      <c r="J220" s="190" t="str">
        <f>J191</f>
        <v>21:00</v>
      </c>
      <c r="K220" s="193"/>
    </row>
    <row r="221" spans="1:11" ht="39.950000000000003" customHeight="1">
      <c r="A221" s="225">
        <f t="shared" ref="A221:D239" si="22">A141</f>
        <v>301</v>
      </c>
      <c r="B221" s="225" t="str">
        <f t="shared" si="22"/>
        <v>521-9</v>
      </c>
      <c r="C221" s="225" t="str">
        <f t="shared" si="22"/>
        <v>Civil</v>
      </c>
      <c r="D221" s="225">
        <f t="shared" si="22"/>
        <v>0</v>
      </c>
      <c r="E221" s="209">
        <f>'concentrado nocturno'!Q53</f>
        <v>1567</v>
      </c>
      <c r="F221" s="209">
        <f>'concentrado nocturno'!R53</f>
        <v>0</v>
      </c>
      <c r="G221" s="209">
        <f>'concentrado nocturno'!S53</f>
        <v>0</v>
      </c>
      <c r="H221" s="209">
        <f>'concentrado nocturno'!T53</f>
        <v>1152</v>
      </c>
      <c r="I221" s="209">
        <f>'concentrado nocturno'!U53</f>
        <v>1152</v>
      </c>
      <c r="J221" s="209">
        <f>'concentrado nocturno'!V53</f>
        <v>0</v>
      </c>
      <c r="K221" s="193"/>
    </row>
    <row r="222" spans="1:11" ht="39.950000000000003" customHeight="1">
      <c r="A222" s="238" t="str">
        <f t="shared" si="22"/>
        <v>301-A</v>
      </c>
      <c r="B222" s="225" t="str">
        <f t="shared" si="22"/>
        <v>521-9</v>
      </c>
      <c r="C222" s="225" t="str">
        <f t="shared" si="22"/>
        <v>Industrial</v>
      </c>
      <c r="D222" s="225">
        <f t="shared" si="22"/>
        <v>0</v>
      </c>
      <c r="E222" s="209" t="str">
        <f>'concentrado nocturno'!Q54</f>
        <v>A184</v>
      </c>
      <c r="F222" s="209">
        <f>'concentrado nocturno'!R54</f>
        <v>0</v>
      </c>
      <c r="G222" s="209">
        <f>'concentrado nocturno'!S54</f>
        <v>0</v>
      </c>
      <c r="H222" s="209" t="str">
        <f>'concentrado nocturno'!T54</f>
        <v>1246 s219</v>
      </c>
      <c r="I222" s="209" t="str">
        <f>'concentrado nocturno'!U54</f>
        <v>1246 s219</v>
      </c>
      <c r="J222" s="209">
        <f>'concentrado nocturno'!V54</f>
        <v>0</v>
      </c>
      <c r="K222" s="193"/>
    </row>
    <row r="223" spans="1:11" ht="39.950000000000003" customHeight="1">
      <c r="A223" s="225">
        <f t="shared" si="22"/>
        <v>302</v>
      </c>
      <c r="B223" s="225" t="str">
        <f t="shared" si="22"/>
        <v>221-9</v>
      </c>
      <c r="C223" s="225" t="str">
        <f t="shared" si="22"/>
        <v>Psicologia</v>
      </c>
      <c r="D223" s="225">
        <f t="shared" si="22"/>
        <v>0</v>
      </c>
      <c r="E223" s="209">
        <f>'concentrado nocturno'!Q55</f>
        <v>1602</v>
      </c>
      <c r="F223" s="209" t="str">
        <f>'concentrado nocturno'!R55</f>
        <v>A257</v>
      </c>
      <c r="G223" s="209" t="str">
        <f>'concentrado nocturno'!S55</f>
        <v>A257</v>
      </c>
      <c r="H223" s="209" t="str">
        <f>'concentrado nocturno'!T55</f>
        <v>A158</v>
      </c>
      <c r="I223" s="209" t="str">
        <f>'concentrado nocturno'!U55</f>
        <v>A158</v>
      </c>
      <c r="J223" s="209">
        <f>'concentrado nocturno'!V55</f>
        <v>0</v>
      </c>
      <c r="K223" s="193"/>
    </row>
    <row r="224" spans="1:11" ht="39.950000000000003" customHeight="1">
      <c r="A224" s="225">
        <f t="shared" si="22"/>
        <v>303</v>
      </c>
      <c r="B224" s="225" t="str">
        <f t="shared" si="22"/>
        <v>521-9</v>
      </c>
      <c r="C224" s="225" t="str">
        <f t="shared" si="22"/>
        <v>FINANZAS</v>
      </c>
      <c r="D224" s="225">
        <f t="shared" si="22"/>
        <v>0</v>
      </c>
      <c r="E224" s="209" t="str">
        <f>'concentrado nocturno'!Q56</f>
        <v>A114</v>
      </c>
      <c r="F224" s="209">
        <f>'concentrado nocturno'!R56</f>
        <v>0</v>
      </c>
      <c r="G224" s="209">
        <f>'concentrado nocturno'!S56</f>
        <v>0</v>
      </c>
      <c r="H224" s="209" t="str">
        <f>'concentrado nocturno'!T56</f>
        <v>A97</v>
      </c>
      <c r="I224" s="209">
        <f>'concentrado nocturno'!U56</f>
        <v>0</v>
      </c>
      <c r="J224" s="209">
        <f>'concentrado nocturno'!V56</f>
        <v>0</v>
      </c>
      <c r="K224" s="193"/>
    </row>
    <row r="225" spans="1:11" ht="39.950000000000003" customHeight="1">
      <c r="A225" s="225">
        <f t="shared" si="22"/>
        <v>304</v>
      </c>
      <c r="B225" s="225" t="str">
        <f t="shared" si="22"/>
        <v>1131-14</v>
      </c>
      <c r="C225" s="225" t="str">
        <f t="shared" si="22"/>
        <v>Electro</v>
      </c>
      <c r="D225" s="225">
        <f t="shared" si="22"/>
        <v>0</v>
      </c>
      <c r="E225" s="209">
        <f>'concentrado nocturno'!Q57</f>
        <v>0</v>
      </c>
      <c r="F225" s="209">
        <f>'concentrado nocturno'!R57</f>
        <v>0</v>
      </c>
      <c r="G225" s="209">
        <f>'concentrado nocturno'!S57</f>
        <v>1534</v>
      </c>
      <c r="H225" s="209" t="str">
        <f>'concentrado nocturno'!T57</f>
        <v>A105</v>
      </c>
      <c r="I225" s="209" t="str">
        <f>'concentrado nocturno'!U57</f>
        <v>A105</v>
      </c>
      <c r="J225" s="209" t="str">
        <f>'concentrado nocturno'!V57</f>
        <v>A105</v>
      </c>
      <c r="K225" s="193"/>
    </row>
    <row r="226" spans="1:11" ht="39.950000000000003" customHeight="1">
      <c r="A226" s="225">
        <f t="shared" si="22"/>
        <v>305</v>
      </c>
      <c r="B226" s="225" t="str">
        <f t="shared" si="22"/>
        <v>221-9</v>
      </c>
      <c r="C226" s="225" t="str">
        <f t="shared" si="22"/>
        <v>Negocios</v>
      </c>
      <c r="D226" s="225">
        <f t="shared" si="22"/>
        <v>0</v>
      </c>
      <c r="E226" s="209">
        <f>'concentrado nocturno'!Q58</f>
        <v>992</v>
      </c>
      <c r="F226" s="209">
        <f>'concentrado nocturno'!R58</f>
        <v>992</v>
      </c>
      <c r="G226" s="209" t="str">
        <f>'concentrado nocturno'!S58</f>
        <v>A68</v>
      </c>
      <c r="H226" s="209" t="str">
        <f>'concentrado nocturno'!T58</f>
        <v>A68</v>
      </c>
      <c r="I226" s="209" t="str">
        <f>'concentrado nocturno'!U58</f>
        <v>A96</v>
      </c>
      <c r="J226" s="209">
        <f>'concentrado nocturno'!V58</f>
        <v>0</v>
      </c>
      <c r="K226" s="193"/>
    </row>
    <row r="227" spans="1:11" ht="39.950000000000003" customHeight="1">
      <c r="A227" s="225">
        <f t="shared" si="22"/>
        <v>306</v>
      </c>
      <c r="B227" s="225">
        <f t="shared" si="22"/>
        <v>0</v>
      </c>
      <c r="C227" s="225">
        <f t="shared" si="22"/>
        <v>0</v>
      </c>
      <c r="D227" s="225" t="str">
        <f t="shared" si="22"/>
        <v>11AN</v>
      </c>
      <c r="E227" s="209">
        <f>'concentrado nocturno'!Q59</f>
        <v>0</v>
      </c>
      <c r="F227" s="209">
        <f>'concentrado nocturno'!R59</f>
        <v>0</v>
      </c>
      <c r="G227" s="209">
        <f>'concentrado nocturno'!S59</f>
        <v>0</v>
      </c>
      <c r="H227" s="209">
        <f>'concentrado nocturno'!T59</f>
        <v>0</v>
      </c>
      <c r="I227" s="209">
        <f>'concentrado nocturno'!U59</f>
        <v>0</v>
      </c>
      <c r="J227" s="209">
        <f>'concentrado nocturno'!V59</f>
        <v>0</v>
      </c>
      <c r="K227" s="193"/>
    </row>
    <row r="228" spans="1:11" ht="39.950000000000003" customHeight="1">
      <c r="A228" s="225">
        <f t="shared" si="22"/>
        <v>307</v>
      </c>
      <c r="B228" s="225" t="str">
        <f t="shared" si="22"/>
        <v>231-14</v>
      </c>
      <c r="C228" s="225" t="str">
        <f t="shared" si="22"/>
        <v>Industrial</v>
      </c>
      <c r="D228" s="225">
        <f t="shared" si="22"/>
        <v>0</v>
      </c>
      <c r="E228" s="209">
        <f>'concentrado nocturno'!Q60</f>
        <v>0</v>
      </c>
      <c r="F228" s="209">
        <f>'concentrado nocturno'!R60</f>
        <v>0</v>
      </c>
      <c r="G228" s="209">
        <f>'concentrado nocturno'!S60</f>
        <v>1246</v>
      </c>
      <c r="H228" s="209">
        <f>'concentrado nocturno'!T60</f>
        <v>1153</v>
      </c>
      <c r="I228" s="209">
        <f>'concentrado nocturno'!U60</f>
        <v>1579</v>
      </c>
      <c r="J228" s="209">
        <f>'concentrado nocturno'!V60</f>
        <v>0</v>
      </c>
      <c r="K228" s="193"/>
    </row>
    <row r="229" spans="1:11" ht="39.950000000000003" customHeight="1">
      <c r="A229" s="225">
        <f t="shared" si="22"/>
        <v>308</v>
      </c>
      <c r="B229" s="225" t="str">
        <f t="shared" si="22"/>
        <v>831-14</v>
      </c>
      <c r="C229" s="225" t="str">
        <f t="shared" si="22"/>
        <v>Civil</v>
      </c>
      <c r="D229" s="225">
        <f t="shared" si="22"/>
        <v>0</v>
      </c>
      <c r="E229" s="209">
        <f>'concentrado nocturno'!Q61</f>
        <v>0</v>
      </c>
      <c r="F229" s="209">
        <f>'concentrado nocturno'!R61</f>
        <v>0</v>
      </c>
      <c r="G229" s="209">
        <f>'concentrado nocturno'!S61</f>
        <v>0</v>
      </c>
      <c r="H229" s="209">
        <f>'concentrado nocturno'!T61</f>
        <v>0</v>
      </c>
      <c r="I229" s="209">
        <f>'concentrado nocturno'!U61</f>
        <v>0</v>
      </c>
      <c r="J229" s="209" t="str">
        <f>'concentrado nocturno'!V61</f>
        <v>A136</v>
      </c>
      <c r="K229" s="193"/>
    </row>
    <row r="230" spans="1:11" ht="39.950000000000003" customHeight="1">
      <c r="A230" s="225">
        <f t="shared" si="22"/>
        <v>309</v>
      </c>
      <c r="B230" s="225" t="str">
        <f t="shared" si="22"/>
        <v xml:space="preserve">731-13   </v>
      </c>
      <c r="C230" s="225" t="str">
        <f t="shared" si="22"/>
        <v>Industrial</v>
      </c>
      <c r="D230" s="225">
        <f t="shared" si="22"/>
        <v>0</v>
      </c>
      <c r="E230" s="209">
        <f>'concentrado nocturno'!Q62</f>
        <v>0</v>
      </c>
      <c r="F230" s="209">
        <f>'concentrado nocturno'!R62</f>
        <v>0</v>
      </c>
      <c r="G230" s="209">
        <f>'concentrado nocturno'!S62</f>
        <v>0</v>
      </c>
      <c r="H230" s="209">
        <f>'concentrado nocturno'!T62</f>
        <v>0</v>
      </c>
      <c r="I230" s="209">
        <f>'concentrado nocturno'!U62</f>
        <v>0</v>
      </c>
      <c r="J230" s="209" t="str">
        <f>'concentrado nocturno'!V62</f>
        <v>S. 313</v>
      </c>
      <c r="K230" s="193"/>
    </row>
    <row r="231" spans="1:11" ht="39.950000000000003" customHeight="1">
      <c r="A231" s="238" t="str">
        <f t="shared" si="22"/>
        <v>309-A</v>
      </c>
      <c r="B231" s="225" t="str">
        <f t="shared" si="22"/>
        <v>531-14</v>
      </c>
      <c r="C231" s="225" t="str">
        <f t="shared" si="22"/>
        <v>Psicologia</v>
      </c>
      <c r="D231" s="225" t="str">
        <f t="shared" si="22"/>
        <v>2AN</v>
      </c>
      <c r="E231" s="209">
        <f>'concentrado nocturno'!Q63</f>
        <v>0</v>
      </c>
      <c r="F231" s="209">
        <f>'concentrado nocturno'!R63</f>
        <v>0</v>
      </c>
      <c r="G231" s="209">
        <f>'concentrado nocturno'!S63</f>
        <v>0</v>
      </c>
      <c r="H231" s="209" t="str">
        <f>'concentrado nocturno'!T63</f>
        <v>A121</v>
      </c>
      <c r="I231" s="209" t="str">
        <f>'concentrado nocturno'!U63</f>
        <v>A121</v>
      </c>
      <c r="J231" s="209">
        <f>'concentrado nocturno'!V63</f>
        <v>2372</v>
      </c>
      <c r="K231" s="193"/>
    </row>
    <row r="232" spans="1:11" ht="39.950000000000003" customHeight="1">
      <c r="A232" s="225">
        <f t="shared" si="22"/>
        <v>310</v>
      </c>
      <c r="B232" s="225">
        <f t="shared" si="22"/>
        <v>0</v>
      </c>
      <c r="C232" s="225">
        <f t="shared" si="22"/>
        <v>0</v>
      </c>
      <c r="D232" s="225">
        <f t="shared" si="22"/>
        <v>0</v>
      </c>
      <c r="E232" s="209">
        <f>'concentrado nocturno'!Q64</f>
        <v>0</v>
      </c>
      <c r="F232" s="209">
        <f>'concentrado nocturno'!R64</f>
        <v>0</v>
      </c>
      <c r="G232" s="209">
        <f>'concentrado nocturno'!S64</f>
        <v>0</v>
      </c>
      <c r="H232" s="209">
        <f>'concentrado nocturno'!T64</f>
        <v>0</v>
      </c>
      <c r="I232" s="209">
        <f>'concentrado nocturno'!U64</f>
        <v>0</v>
      </c>
      <c r="J232" s="209">
        <f>'concentrado nocturno'!V64</f>
        <v>0</v>
      </c>
      <c r="K232" s="193"/>
    </row>
    <row r="233" spans="1:11" ht="39.950000000000003" customHeight="1">
      <c r="A233" s="225">
        <f t="shared" si="22"/>
        <v>311</v>
      </c>
      <c r="B233" s="225" t="str">
        <f t="shared" si="22"/>
        <v>431-13/531-14</v>
      </c>
      <c r="C233" s="225" t="str">
        <f t="shared" si="22"/>
        <v>Mecatronica</v>
      </c>
      <c r="D233" s="225">
        <f t="shared" si="22"/>
        <v>0</v>
      </c>
      <c r="E233" s="209">
        <f>'concentrado nocturno'!Q65</f>
        <v>0</v>
      </c>
      <c r="F233" s="209">
        <f>'concentrado nocturno'!R65</f>
        <v>0</v>
      </c>
      <c r="G233" s="209">
        <f>'concentrado nocturno'!S65</f>
        <v>0</v>
      </c>
      <c r="H233" s="209">
        <f>'concentrado nocturno'!T65</f>
        <v>1602</v>
      </c>
      <c r="I233" s="209" t="str">
        <f>'concentrado nocturno'!U65</f>
        <v>A235</v>
      </c>
      <c r="J233" s="209" t="str">
        <f>'concentrado nocturno'!V65</f>
        <v>A235</v>
      </c>
      <c r="K233" s="193"/>
    </row>
    <row r="234" spans="1:11" ht="39.950000000000003" customHeight="1">
      <c r="A234" s="225">
        <f t="shared" si="22"/>
        <v>312</v>
      </c>
      <c r="B234" s="225" t="str">
        <f t="shared" si="22"/>
        <v>231-14</v>
      </c>
      <c r="C234" s="225" t="str">
        <f t="shared" si="22"/>
        <v>Mecatronica</v>
      </c>
      <c r="D234" s="225">
        <f t="shared" si="22"/>
        <v>0</v>
      </c>
      <c r="E234" s="209">
        <f>'concentrado nocturno'!Q66</f>
        <v>0</v>
      </c>
      <c r="F234" s="209">
        <f>'concentrado nocturno'!R66</f>
        <v>2453</v>
      </c>
      <c r="G234" s="209">
        <f>'concentrado nocturno'!S66</f>
        <v>2453</v>
      </c>
      <c r="H234" s="209">
        <f>'concentrado nocturno'!T66</f>
        <v>1865</v>
      </c>
      <c r="I234" s="209">
        <f>'concentrado nocturno'!U66</f>
        <v>0</v>
      </c>
      <c r="J234" s="209">
        <f>'concentrado nocturno'!V66</f>
        <v>0</v>
      </c>
      <c r="K234" s="193"/>
    </row>
    <row r="235" spans="1:11" ht="39.950000000000003" customHeight="1">
      <c r="A235" s="225">
        <f t="shared" si="22"/>
        <v>313</v>
      </c>
      <c r="B235" s="225" t="str">
        <f t="shared" si="22"/>
        <v>731-13/831-14</v>
      </c>
      <c r="C235" s="225" t="str">
        <f t="shared" si="22"/>
        <v>Industrial</v>
      </c>
      <c r="D235" s="225" t="str">
        <f t="shared" si="22"/>
        <v>5AN</v>
      </c>
      <c r="E235" s="209">
        <f>'concentrado nocturno'!Q67</f>
        <v>0</v>
      </c>
      <c r="F235" s="209">
        <f>'concentrado nocturno'!R67</f>
        <v>0</v>
      </c>
      <c r="G235" s="209">
        <f>'concentrado nocturno'!S67</f>
        <v>0</v>
      </c>
      <c r="H235" s="209" t="str">
        <f>'concentrado nocturno'!T67</f>
        <v>A78</v>
      </c>
      <c r="I235" s="209" t="str">
        <f>'concentrado nocturno'!U67</f>
        <v>A78</v>
      </c>
      <c r="J235" s="209" t="str">
        <f>'concentrado nocturno'!V67</f>
        <v>A225</v>
      </c>
      <c r="K235" s="193"/>
    </row>
    <row r="236" spans="1:11" ht="39.950000000000003" customHeight="1">
      <c r="A236" s="225">
        <f t="shared" si="22"/>
        <v>314</v>
      </c>
      <c r="B236" s="225" t="str">
        <f t="shared" si="22"/>
        <v>1031-13/1131-14</v>
      </c>
      <c r="C236" s="225" t="str">
        <f t="shared" si="22"/>
        <v>Mecatronica</v>
      </c>
      <c r="D236" s="225">
        <f t="shared" si="22"/>
        <v>0</v>
      </c>
      <c r="E236" s="209">
        <f>'concentrado nocturno'!Q68</f>
        <v>0</v>
      </c>
      <c r="F236" s="209">
        <f>'concentrado nocturno'!R68</f>
        <v>0</v>
      </c>
      <c r="G236" s="209">
        <f>'concentrado nocturno'!S68</f>
        <v>0</v>
      </c>
      <c r="H236" s="209">
        <f>'concentrado nocturno'!T68</f>
        <v>2453</v>
      </c>
      <c r="I236" s="209">
        <f>'concentrado nocturno'!U68</f>
        <v>1534</v>
      </c>
      <c r="J236" s="209">
        <f>'concentrado nocturno'!V68</f>
        <v>1534</v>
      </c>
      <c r="K236" s="193"/>
    </row>
    <row r="237" spans="1:11" ht="39.950000000000003" customHeight="1">
      <c r="A237" s="225">
        <f t="shared" si="22"/>
        <v>315</v>
      </c>
      <c r="B237" s="225" t="str">
        <f t="shared" si="22"/>
        <v>531-14</v>
      </c>
      <c r="C237" s="225" t="str">
        <f t="shared" si="22"/>
        <v>Industrial</v>
      </c>
      <c r="D237" s="225">
        <f t="shared" si="22"/>
        <v>0</v>
      </c>
      <c r="E237" s="209">
        <f>'concentrado nocturno'!Q69</f>
        <v>0</v>
      </c>
      <c r="F237" s="209">
        <f>'concentrado nocturno'!R69</f>
        <v>0</v>
      </c>
      <c r="G237" s="209">
        <f>'concentrado nocturno'!S69</f>
        <v>1567</v>
      </c>
      <c r="H237" s="209" t="str">
        <f>'concentrado nocturno'!T69</f>
        <v>A182</v>
      </c>
      <c r="I237" s="209">
        <f>'concentrado nocturno'!U69</f>
        <v>2390</v>
      </c>
      <c r="J237" s="209">
        <f>'concentrado nocturno'!V69</f>
        <v>1579</v>
      </c>
      <c r="K237" s="193"/>
    </row>
    <row r="238" spans="1:11" ht="39.950000000000003" customHeight="1">
      <c r="A238" s="225">
        <f t="shared" si="22"/>
        <v>316</v>
      </c>
      <c r="B238" s="225" t="str">
        <f t="shared" si="22"/>
        <v>231-14</v>
      </c>
      <c r="C238" s="225" t="str">
        <f t="shared" si="22"/>
        <v>FINANZAS</v>
      </c>
      <c r="D238" s="225">
        <f t="shared" si="22"/>
        <v>0</v>
      </c>
      <c r="E238" s="209">
        <f>'concentrado nocturno'!Q70</f>
        <v>0</v>
      </c>
      <c r="F238" s="209">
        <f>'concentrado nocturno'!R70</f>
        <v>0</v>
      </c>
      <c r="G238" s="209">
        <f>'concentrado nocturno'!S70</f>
        <v>0</v>
      </c>
      <c r="H238" s="209" t="str">
        <f>'concentrado nocturno'!T70</f>
        <v>S 009</v>
      </c>
      <c r="I238" s="209">
        <f>'concentrado nocturno'!U70</f>
        <v>1990</v>
      </c>
      <c r="J238" s="209">
        <f>'concentrado nocturno'!V70</f>
        <v>2448</v>
      </c>
      <c r="K238" s="193"/>
    </row>
    <row r="239" spans="1:11" ht="39.950000000000003" customHeight="1">
      <c r="A239" s="225">
        <f t="shared" si="22"/>
        <v>0</v>
      </c>
      <c r="B239" s="225">
        <f t="shared" si="22"/>
        <v>0</v>
      </c>
      <c r="C239" s="225">
        <f t="shared" si="22"/>
        <v>0</v>
      </c>
      <c r="D239" s="225">
        <f t="shared" si="22"/>
        <v>0</v>
      </c>
      <c r="E239" s="209">
        <f>'concentrado nocturno'!Q71</f>
        <v>0</v>
      </c>
      <c r="F239" s="209">
        <f>'concentrado nocturno'!R71</f>
        <v>0</v>
      </c>
      <c r="G239" s="209">
        <f>'concentrado nocturno'!S71</f>
        <v>0</v>
      </c>
      <c r="H239" s="209">
        <f>'concentrado nocturno'!T71</f>
        <v>0</v>
      </c>
      <c r="I239" s="209">
        <f>'concentrado nocturno'!U71</f>
        <v>0</v>
      </c>
      <c r="J239" s="209">
        <f>'concentrado nocturno'!V71</f>
        <v>0</v>
      </c>
      <c r="K239" s="193"/>
    </row>
    <row r="240" spans="1:11" ht="39.950000000000003" customHeight="1">
      <c r="A240" s="210"/>
      <c r="B240" s="210"/>
      <c r="C240" s="226"/>
      <c r="D240" s="210"/>
      <c r="E240" s="183"/>
      <c r="F240" s="183"/>
      <c r="G240" s="210"/>
      <c r="H240" s="211"/>
      <c r="I240" s="193"/>
      <c r="J240" s="193"/>
      <c r="K240" s="193"/>
    </row>
    <row r="241" spans="1:11" ht="39.950000000000003" customHeight="1">
      <c r="A241" s="206"/>
      <c r="B241" s="206"/>
      <c r="C241" s="206"/>
      <c r="D241" s="206"/>
      <c r="E241" s="206"/>
      <c r="F241" s="206"/>
      <c r="G241" s="206"/>
      <c r="H241" s="218"/>
      <c r="I241" s="193"/>
      <c r="J241" s="193"/>
      <c r="K241" s="193"/>
    </row>
    <row r="242" spans="1:11" ht="39.950000000000003" customHeight="1">
      <c r="A242" s="388" t="str">
        <f>A217</f>
        <v>REGISTRO DIARIO DE INCIDENCIAS</v>
      </c>
      <c r="B242" s="389"/>
      <c r="C242" s="389"/>
      <c r="D242" s="389"/>
      <c r="E242" s="389"/>
      <c r="F242" s="389"/>
      <c r="G242" s="389"/>
      <c r="H242" s="389"/>
      <c r="I242" s="389"/>
      <c r="J242" s="390"/>
      <c r="K242" s="193"/>
    </row>
    <row r="243" spans="1:11" ht="39.950000000000003" customHeight="1">
      <c r="A243" s="391" t="str">
        <f>A218</f>
        <v>PERIODO ENERO- ABRIL 2026</v>
      </c>
      <c r="B243" s="392"/>
      <c r="C243" s="392"/>
      <c r="D243" s="392"/>
      <c r="E243" s="392"/>
      <c r="F243" s="392"/>
      <c r="G243" s="392"/>
      <c r="H243" s="392"/>
      <c r="I243" s="392"/>
      <c r="J243" s="393"/>
      <c r="K243" s="193"/>
    </row>
    <row r="244" spans="1:11" ht="39.950000000000003" customHeight="1">
      <c r="A244" s="394" t="str">
        <f>A219</f>
        <v>TURNOS: VESP Y NOCTURNO</v>
      </c>
      <c r="B244" s="395"/>
      <c r="C244" s="395"/>
      <c r="D244" s="396">
        <f>FECHAS!D11</f>
        <v>46086</v>
      </c>
      <c r="E244" s="396"/>
      <c r="F244" s="396"/>
      <c r="G244" s="395" t="str">
        <f>G219</f>
        <v xml:space="preserve">SEM 9 LIC </v>
      </c>
      <c r="H244" s="395"/>
      <c r="I244" s="395"/>
      <c r="J244" s="397"/>
      <c r="K244" s="193"/>
    </row>
    <row r="245" spans="1:11" ht="39.950000000000003" customHeight="1">
      <c r="A245" s="190" t="str">
        <f t="shared" ref="A245:J245" si="23">A220</f>
        <v>Aula</v>
      </c>
      <c r="B245" s="190" t="str">
        <f t="shared" si="23"/>
        <v>Gpo.</v>
      </c>
      <c r="C245" s="190" t="str">
        <f t="shared" si="23"/>
        <v>Licenciatura</v>
      </c>
      <c r="D245" s="190" t="str">
        <f t="shared" si="23"/>
        <v>Op</v>
      </c>
      <c r="E245" s="190" t="str">
        <f t="shared" si="23"/>
        <v>16:00</v>
      </c>
      <c r="F245" s="190" t="str">
        <f t="shared" si="23"/>
        <v>17:00</v>
      </c>
      <c r="G245" s="190" t="str">
        <f t="shared" si="23"/>
        <v>18:00</v>
      </c>
      <c r="H245" s="190" t="str">
        <f t="shared" si="23"/>
        <v>19:00</v>
      </c>
      <c r="I245" s="190" t="str">
        <f t="shared" si="23"/>
        <v>20:00</v>
      </c>
      <c r="J245" s="190" t="str">
        <f t="shared" si="23"/>
        <v>21:00</v>
      </c>
      <c r="K245" s="193"/>
    </row>
    <row r="246" spans="1:11" ht="39.950000000000003" customHeight="1">
      <c r="A246" s="189" t="str">
        <f t="shared" ref="A246:D267" si="24">A165</f>
        <v>CC1</v>
      </c>
      <c r="B246" s="189">
        <f t="shared" si="24"/>
        <v>0</v>
      </c>
      <c r="C246" s="189">
        <f t="shared" si="24"/>
        <v>0</v>
      </c>
      <c r="D246" s="189">
        <f t="shared" si="24"/>
        <v>0</v>
      </c>
      <c r="E246" s="209">
        <f>'concentrado nocturno'!W6</f>
        <v>0</v>
      </c>
      <c r="F246" s="209">
        <f>'concentrado nocturno'!X6</f>
        <v>1094</v>
      </c>
      <c r="G246" s="209">
        <f>'concentrado nocturno'!Y6</f>
        <v>0</v>
      </c>
      <c r="H246" s="209">
        <f>'concentrado nocturno'!Z6</f>
        <v>0</v>
      </c>
      <c r="I246" s="209">
        <f>'concentrado nocturno'!AA6</f>
        <v>0</v>
      </c>
      <c r="J246" s="209">
        <f>'concentrado nocturno'!AB6</f>
        <v>0</v>
      </c>
      <c r="K246" s="193"/>
    </row>
    <row r="247" spans="1:11" ht="39.950000000000003" customHeight="1">
      <c r="A247" s="189" t="str">
        <f t="shared" si="24"/>
        <v>CC2</v>
      </c>
      <c r="B247" s="189">
        <f t="shared" si="24"/>
        <v>0</v>
      </c>
      <c r="C247" s="189">
        <f t="shared" si="24"/>
        <v>0</v>
      </c>
      <c r="D247" s="189">
        <f t="shared" si="24"/>
        <v>0</v>
      </c>
      <c r="E247" s="209">
        <f>'concentrado nocturno'!W7</f>
        <v>634</v>
      </c>
      <c r="F247" s="209">
        <f>'concentrado nocturno'!X7</f>
        <v>0</v>
      </c>
      <c r="G247" s="209">
        <f>'concentrado nocturno'!Y7</f>
        <v>1534</v>
      </c>
      <c r="H247" s="209" t="str">
        <f>'concentrado nocturno'!Z7</f>
        <v>A182</v>
      </c>
      <c r="I247" s="209" t="str">
        <f>'concentrado nocturno'!AA7</f>
        <v>A182</v>
      </c>
      <c r="J247" s="209">
        <f>'concentrado nocturno'!AB7</f>
        <v>0</v>
      </c>
      <c r="K247" s="193"/>
    </row>
    <row r="248" spans="1:11" ht="39.950000000000003" customHeight="1">
      <c r="A248" s="189" t="str">
        <f t="shared" si="24"/>
        <v>CC3</v>
      </c>
      <c r="B248" s="189">
        <f t="shared" si="24"/>
        <v>0</v>
      </c>
      <c r="C248" s="189">
        <f t="shared" si="24"/>
        <v>0</v>
      </c>
      <c r="D248" s="189">
        <f t="shared" si="24"/>
        <v>0</v>
      </c>
      <c r="E248" s="209">
        <f>'concentrado nocturno'!W8</f>
        <v>0</v>
      </c>
      <c r="F248" s="209" t="str">
        <f>'concentrado nocturno'!X8</f>
        <v>A242</v>
      </c>
      <c r="G248" s="209">
        <f>'concentrado nocturno'!Y8</f>
        <v>0</v>
      </c>
      <c r="H248" s="209" t="str">
        <f>'concentrado nocturno'!Z10</f>
        <v>A242</v>
      </c>
      <c r="I248" s="209">
        <f>'concentrado nocturno'!AA8</f>
        <v>0</v>
      </c>
      <c r="J248" s="209">
        <f>'concentrado nocturno'!AB8</f>
        <v>0</v>
      </c>
      <c r="K248" s="193"/>
    </row>
    <row r="249" spans="1:11" ht="39.950000000000003" customHeight="1">
      <c r="A249" s="189" t="str">
        <f t="shared" si="24"/>
        <v>CC4</v>
      </c>
      <c r="B249" s="189">
        <f t="shared" si="24"/>
        <v>0</v>
      </c>
      <c r="C249" s="189">
        <f t="shared" si="24"/>
        <v>0</v>
      </c>
      <c r="D249" s="189">
        <f t="shared" si="24"/>
        <v>0</v>
      </c>
      <c r="E249" s="209">
        <f>'concentrado nocturno'!W9</f>
        <v>390</v>
      </c>
      <c r="F249" s="209">
        <f>'concentrado nocturno'!X9</f>
        <v>0</v>
      </c>
      <c r="G249" s="209">
        <f>'concentrado nocturno'!Y9</f>
        <v>0</v>
      </c>
      <c r="H249" s="209">
        <f>'concentrado nocturno'!Z9</f>
        <v>2448</v>
      </c>
      <c r="I249" s="209">
        <f>'concentrado nocturno'!AA9</f>
        <v>634</v>
      </c>
      <c r="J249" s="209">
        <f>'concentrado nocturno'!AB9</f>
        <v>634</v>
      </c>
      <c r="K249" s="193"/>
    </row>
    <row r="250" spans="1:11" ht="39.950000000000003" customHeight="1">
      <c r="A250" s="189" t="str">
        <f t="shared" si="24"/>
        <v>CC5</v>
      </c>
      <c r="B250" s="189">
        <f t="shared" si="24"/>
        <v>0</v>
      </c>
      <c r="C250" s="189">
        <f t="shared" si="24"/>
        <v>0</v>
      </c>
      <c r="D250" s="189">
        <f t="shared" si="24"/>
        <v>0</v>
      </c>
      <c r="E250" s="209">
        <f>'concentrado nocturno'!W10</f>
        <v>0</v>
      </c>
      <c r="F250" s="209">
        <f>'concentrado nocturno'!X10</f>
        <v>0</v>
      </c>
      <c r="G250" s="209">
        <f>'concentrado nocturno'!Y10</f>
        <v>0</v>
      </c>
      <c r="H250" s="209" t="str">
        <f>'concentrado nocturno'!Z10</f>
        <v>A242</v>
      </c>
      <c r="I250" s="209" t="str">
        <f>'concentrado nocturno'!AA10</f>
        <v>A242</v>
      </c>
      <c r="J250" s="209">
        <f>'concentrado nocturno'!AB10</f>
        <v>0</v>
      </c>
      <c r="K250" s="193"/>
    </row>
    <row r="251" spans="1:11" ht="39.950000000000003" customHeight="1">
      <c r="A251" s="189">
        <f t="shared" si="24"/>
        <v>1</v>
      </c>
      <c r="B251" s="189" t="str">
        <f t="shared" si="24"/>
        <v>421-13/521-14</v>
      </c>
      <c r="C251" s="189" t="str">
        <f t="shared" si="24"/>
        <v>Psicologia</v>
      </c>
      <c r="D251" s="189" t="str">
        <f t="shared" si="24"/>
        <v>11DV, 8AN, 5BN</v>
      </c>
      <c r="E251" s="209" t="str">
        <f>'concentrado nocturno'!W11</f>
        <v>A262</v>
      </c>
      <c r="F251" s="209" t="str">
        <f>'concentrado nocturno'!X11</f>
        <v>A133</v>
      </c>
      <c r="G251" s="209" t="str">
        <f>'concentrado nocturno'!Y11</f>
        <v>A133</v>
      </c>
      <c r="H251" s="209">
        <f>'concentrado nocturno'!Z11</f>
        <v>2336</v>
      </c>
      <c r="I251" s="209">
        <f>'concentrado nocturno'!AA11</f>
        <v>2336</v>
      </c>
      <c r="J251" s="209">
        <f>'concentrado nocturno'!AB11</f>
        <v>0</v>
      </c>
      <c r="K251" s="193"/>
    </row>
    <row r="252" spans="1:11" ht="39.950000000000003" customHeight="1">
      <c r="A252" s="189">
        <f t="shared" si="24"/>
        <v>2</v>
      </c>
      <c r="B252" s="189" t="str">
        <f t="shared" si="24"/>
        <v>721-8-821-9</v>
      </c>
      <c r="C252" s="189" t="str">
        <f t="shared" si="24"/>
        <v>Psicologia</v>
      </c>
      <c r="D252" s="189">
        <f t="shared" si="24"/>
        <v>0</v>
      </c>
      <c r="E252" s="209" t="str">
        <f>'concentrado nocturno'!W12</f>
        <v>634 CC</v>
      </c>
      <c r="F252" s="209">
        <f>'concentrado nocturno'!X12</f>
        <v>2468</v>
      </c>
      <c r="G252" s="209">
        <f>'concentrado nocturno'!Y12</f>
        <v>2468</v>
      </c>
      <c r="H252" s="209">
        <f>'concentrado nocturno'!Z12</f>
        <v>1456</v>
      </c>
      <c r="I252" s="209">
        <f>'concentrado nocturno'!AA12</f>
        <v>2206</v>
      </c>
      <c r="J252" s="209">
        <f>'concentrado nocturno'!AB12</f>
        <v>0</v>
      </c>
      <c r="K252" s="193" t="s">
        <v>10</v>
      </c>
    </row>
    <row r="253" spans="1:11" ht="39.950000000000003" customHeight="1">
      <c r="A253" s="189">
        <f t="shared" si="24"/>
        <v>2</v>
      </c>
      <c r="B253" s="189" t="str">
        <f t="shared" si="24"/>
        <v>421-13/521-14</v>
      </c>
      <c r="C253" s="189" t="str">
        <f t="shared" si="24"/>
        <v>Compu</v>
      </c>
      <c r="D253" s="189">
        <f t="shared" si="24"/>
        <v>0</v>
      </c>
      <c r="E253" s="209" t="str">
        <f>'concentrado nocturno'!W13</f>
        <v>390 cc</v>
      </c>
      <c r="F253" s="209">
        <f>'concentrado nocturno'!X13</f>
        <v>0</v>
      </c>
      <c r="G253" s="209">
        <f>'concentrado nocturno'!Y13</f>
        <v>0</v>
      </c>
      <c r="H253" s="209">
        <f>'concentrado nocturno'!Z13</f>
        <v>0</v>
      </c>
      <c r="I253" s="209">
        <f>'concentrado nocturno'!AA13</f>
        <v>0</v>
      </c>
      <c r="J253" s="209">
        <f>'concentrado nocturno'!AB13</f>
        <v>0</v>
      </c>
      <c r="K253" s="193"/>
    </row>
    <row r="254" spans="1:11" ht="39.950000000000003" customHeight="1">
      <c r="A254" s="189">
        <f t="shared" si="24"/>
        <v>3</v>
      </c>
      <c r="B254" s="189" t="str">
        <f t="shared" si="24"/>
        <v>221-14</v>
      </c>
      <c r="C254" s="189" t="str">
        <f t="shared" si="24"/>
        <v>Psicologia</v>
      </c>
      <c r="D254" s="189" t="str">
        <f t="shared" si="24"/>
        <v>8CN</v>
      </c>
      <c r="E254" s="209">
        <f>'concentrado nocturno'!W14</f>
        <v>2325</v>
      </c>
      <c r="F254" s="209">
        <f>'concentrado nocturno'!X14</f>
        <v>1602</v>
      </c>
      <c r="G254" s="209" t="str">
        <f>'concentrado nocturno'!Y14</f>
        <v>A158</v>
      </c>
      <c r="H254" s="209">
        <f>'concentrado nocturno'!Z14</f>
        <v>1435</v>
      </c>
      <c r="I254" s="209">
        <f>'concentrado nocturno'!AA14</f>
        <v>1435</v>
      </c>
      <c r="J254" s="209" t="str">
        <f>'concentrado nocturno'!AB14</f>
        <v>A263</v>
      </c>
      <c r="K254" s="193"/>
    </row>
    <row r="255" spans="1:11" ht="39.950000000000003" customHeight="1">
      <c r="A255" s="189">
        <f t="shared" si="24"/>
        <v>3</v>
      </c>
      <c r="B255" s="189" t="str">
        <f t="shared" si="24"/>
        <v>1031-13/1131-14</v>
      </c>
      <c r="C255" s="189" t="str">
        <f t="shared" si="24"/>
        <v>Psicologia</v>
      </c>
      <c r="D255" s="189">
        <f t="shared" si="24"/>
        <v>0</v>
      </c>
      <c r="E255" s="209">
        <f>'concentrado nocturno'!W15</f>
        <v>0</v>
      </c>
      <c r="F255" s="209">
        <f>'concentrado nocturno'!X15</f>
        <v>0</v>
      </c>
      <c r="G255" s="209">
        <f>'concentrado nocturno'!Y15</f>
        <v>0</v>
      </c>
      <c r="H255" s="209">
        <f>'concentrado nocturno'!Z15</f>
        <v>0</v>
      </c>
      <c r="I255" s="209">
        <f>'concentrado nocturno'!AA15</f>
        <v>0</v>
      </c>
      <c r="J255" s="189">
        <f>'concentrado nocturno'!AB15</f>
        <v>0</v>
      </c>
      <c r="K255" s="193"/>
    </row>
    <row r="256" spans="1:11" ht="39.950000000000003" customHeight="1">
      <c r="A256" s="189">
        <f t="shared" si="24"/>
        <v>4</v>
      </c>
      <c r="B256" s="189" t="str">
        <f t="shared" si="24"/>
        <v>531-14</v>
      </c>
      <c r="C256" s="189" t="str">
        <f t="shared" si="24"/>
        <v>FINANZAS</v>
      </c>
      <c r="D256" s="189">
        <f t="shared" si="24"/>
        <v>0</v>
      </c>
      <c r="E256" s="209">
        <f>'concentrado nocturno'!W16</f>
        <v>0</v>
      </c>
      <c r="F256" s="209">
        <f>'concentrado nocturno'!X16</f>
        <v>0</v>
      </c>
      <c r="G256" s="209">
        <f>'concentrado nocturno'!Y16</f>
        <v>0</v>
      </c>
      <c r="H256" s="209">
        <f>'concentrado nocturno'!Z16</f>
        <v>2476</v>
      </c>
      <c r="I256" s="209">
        <f>'concentrado nocturno'!AA16</f>
        <v>2476</v>
      </c>
      <c r="J256" s="209" t="str">
        <f>'concentrado nocturno'!AB16</f>
        <v>A166</v>
      </c>
      <c r="K256" s="193"/>
    </row>
    <row r="257" spans="1:11" ht="39.950000000000003" customHeight="1">
      <c r="A257" s="189">
        <f t="shared" si="24"/>
        <v>4</v>
      </c>
      <c r="B257" s="189" t="str">
        <f t="shared" si="24"/>
        <v>821-14</v>
      </c>
      <c r="C257" s="189" t="str">
        <f t="shared" si="24"/>
        <v>Psicologia</v>
      </c>
      <c r="D257" s="189">
        <f t="shared" si="24"/>
        <v>0</v>
      </c>
      <c r="E257" s="209">
        <f>'concentrado nocturno'!W17</f>
        <v>2517</v>
      </c>
      <c r="F257" s="209">
        <f>'concentrado nocturno'!X17</f>
        <v>1456</v>
      </c>
      <c r="G257" s="209" t="str">
        <f>'concentrado nocturno'!Y17</f>
        <v>A99</v>
      </c>
      <c r="H257" s="209">
        <f>'concentrado nocturno'!Z17</f>
        <v>0</v>
      </c>
      <c r="I257" s="209">
        <f>'concentrado nocturno'!AA17</f>
        <v>0</v>
      </c>
      <c r="J257" s="209">
        <f>'concentrado nocturno'!AB17</f>
        <v>0</v>
      </c>
      <c r="K257" s="193"/>
    </row>
    <row r="258" spans="1:11" ht="39.950000000000003" customHeight="1">
      <c r="A258" s="189">
        <f t="shared" si="24"/>
        <v>5</v>
      </c>
      <c r="B258" s="189" t="str">
        <f t="shared" si="24"/>
        <v>721-8/821-9</v>
      </c>
      <c r="C258" s="189" t="str">
        <f t="shared" si="24"/>
        <v>Civil</v>
      </c>
      <c r="D258" s="189" t="str">
        <f t="shared" si="24"/>
        <v>2BV</v>
      </c>
      <c r="E258" s="209" t="str">
        <f>'concentrado nocturno'!W18</f>
        <v>A43</v>
      </c>
      <c r="F258" s="209">
        <f>'concentrado nocturno'!X18</f>
        <v>2395</v>
      </c>
      <c r="G258" s="209">
        <f>'concentrado nocturno'!Y18</f>
        <v>2395</v>
      </c>
      <c r="H258" s="209">
        <f>'concentrado nocturno'!Z18</f>
        <v>2306</v>
      </c>
      <c r="I258" s="209">
        <f>'concentrado nocturno'!AA18</f>
        <v>2306</v>
      </c>
      <c r="J258" s="209">
        <f>'concentrado nocturno'!AB18</f>
        <v>0</v>
      </c>
      <c r="K258" s="193"/>
    </row>
    <row r="259" spans="1:11" ht="39.950000000000003" customHeight="1">
      <c r="A259" s="189">
        <f t="shared" si="24"/>
        <v>7</v>
      </c>
      <c r="B259" s="189" t="str">
        <f t="shared" si="24"/>
        <v>721-8/821-9</v>
      </c>
      <c r="C259" s="189" t="str">
        <f t="shared" si="24"/>
        <v>FINANZAS</v>
      </c>
      <c r="D259" s="189">
        <f t="shared" si="24"/>
        <v>0</v>
      </c>
      <c r="E259" s="209" t="str">
        <f>'concentrado nocturno'!W19</f>
        <v>A99</v>
      </c>
      <c r="F259" s="209">
        <f>'concentrado nocturno'!X19</f>
        <v>160</v>
      </c>
      <c r="G259" s="209">
        <f>'concentrado nocturno'!Y19</f>
        <v>160</v>
      </c>
      <c r="H259" s="209">
        <f>'concentrado nocturno'!Z19</f>
        <v>2040</v>
      </c>
      <c r="I259" s="209">
        <f>'concentrado nocturno'!AA19</f>
        <v>2040</v>
      </c>
      <c r="J259" s="209">
        <f>'concentrado nocturno'!AB19</f>
        <v>0</v>
      </c>
      <c r="K259" s="193"/>
    </row>
    <row r="260" spans="1:11" ht="39.950000000000003" customHeight="1">
      <c r="A260" s="189">
        <f t="shared" si="24"/>
        <v>8</v>
      </c>
      <c r="B260" s="189" t="str">
        <f t="shared" si="24"/>
        <v>821-9</v>
      </c>
      <c r="C260" s="189" t="str">
        <f t="shared" si="24"/>
        <v>Negocios</v>
      </c>
      <c r="D260" s="189" t="str">
        <f t="shared" si="24"/>
        <v>2AV</v>
      </c>
      <c r="E260" s="209">
        <f>'concentrado nocturno'!W20</f>
        <v>0</v>
      </c>
      <c r="F260" s="209" t="str">
        <f>'concentrado nocturno'!X20</f>
        <v>A36</v>
      </c>
      <c r="G260" s="209" t="str">
        <f>'concentrado nocturno'!Y20</f>
        <v>A36</v>
      </c>
      <c r="H260" s="209">
        <f>'concentrado nocturno'!Z20</f>
        <v>1246</v>
      </c>
      <c r="I260" s="209" t="str">
        <f>'concentrado nocturno'!AA20</f>
        <v>A230</v>
      </c>
      <c r="J260" s="209">
        <f>'concentrado nocturno'!AB20</f>
        <v>0</v>
      </c>
      <c r="K260" s="193"/>
    </row>
    <row r="261" spans="1:11" ht="39.950000000000003" customHeight="1">
      <c r="A261" s="189">
        <f t="shared" si="24"/>
        <v>9</v>
      </c>
      <c r="B261" s="189" t="str">
        <f t="shared" si="24"/>
        <v>221-9</v>
      </c>
      <c r="C261" s="189" t="str">
        <f t="shared" si="24"/>
        <v>FINANZAS</v>
      </c>
      <c r="D261" s="189" t="str">
        <f t="shared" si="24"/>
        <v>5DV</v>
      </c>
      <c r="E261" s="209">
        <f>'concentrado nocturno'!W21</f>
        <v>1990</v>
      </c>
      <c r="F261" s="209">
        <f>'concentrado nocturno'!X21</f>
        <v>2451</v>
      </c>
      <c r="G261" s="209">
        <f>'concentrado nocturno'!Y21</f>
        <v>2451</v>
      </c>
      <c r="H261" s="209" t="str">
        <f>'concentrado nocturno'!Z21</f>
        <v>A96</v>
      </c>
      <c r="I261" s="209" t="str">
        <f>'concentrado nocturno'!AA21</f>
        <v>A99</v>
      </c>
      <c r="J261" s="209">
        <f>'concentrado nocturno'!AB21</f>
        <v>0</v>
      </c>
      <c r="K261" s="193"/>
    </row>
    <row r="262" spans="1:11" ht="39.950000000000003" customHeight="1">
      <c r="A262" s="189">
        <f t="shared" si="24"/>
        <v>101</v>
      </c>
      <c r="B262" s="189" t="str">
        <f t="shared" si="24"/>
        <v>221-9</v>
      </c>
      <c r="C262" s="189" t="str">
        <f t="shared" si="24"/>
        <v>Civil</v>
      </c>
      <c r="D262" s="189" t="str">
        <f t="shared" si="24"/>
        <v>2CV</v>
      </c>
      <c r="E262" s="209" t="str">
        <f>'concentrado nocturno'!W22</f>
        <v>A200</v>
      </c>
      <c r="F262" s="209" t="str">
        <f>'concentrado nocturno'!X22</f>
        <v>A78</v>
      </c>
      <c r="G262" s="209" t="str">
        <f>'concentrado nocturno'!Y22</f>
        <v>A78</v>
      </c>
      <c r="H262" s="209">
        <f>'concentrado nocturno'!Z22</f>
        <v>1502</v>
      </c>
      <c r="I262" s="209">
        <f>'concentrado nocturno'!AA22</f>
        <v>1502</v>
      </c>
      <c r="J262" s="209">
        <f>'concentrado nocturno'!AB22</f>
        <v>0</v>
      </c>
      <c r="K262" s="193"/>
    </row>
    <row r="263" spans="1:11" ht="39.950000000000003" customHeight="1">
      <c r="A263" s="189">
        <f t="shared" si="24"/>
        <v>102</v>
      </c>
      <c r="B263" s="189" t="str">
        <f t="shared" si="24"/>
        <v>531-14</v>
      </c>
      <c r="C263" s="189" t="str">
        <f t="shared" si="24"/>
        <v>Civil</v>
      </c>
      <c r="D263" s="189">
        <f t="shared" si="24"/>
        <v>0</v>
      </c>
      <c r="E263" s="209">
        <f>'concentrado nocturno'!W23</f>
        <v>0</v>
      </c>
      <c r="F263" s="209">
        <f>'concentrado nocturno'!X23</f>
        <v>0</v>
      </c>
      <c r="G263" s="209">
        <f>'concentrado nocturno'!Y23</f>
        <v>0</v>
      </c>
      <c r="H263" s="209">
        <f>'concentrado nocturno'!Z23</f>
        <v>0</v>
      </c>
      <c r="I263" s="209">
        <f>'concentrado nocturno'!AA23</f>
        <v>0</v>
      </c>
      <c r="J263" s="209" t="str">
        <f>'concentrado nocturno'!AB23</f>
        <v>A43</v>
      </c>
      <c r="K263" s="193"/>
    </row>
    <row r="264" spans="1:11" ht="39.950000000000003" customHeight="1">
      <c r="A264" s="189">
        <f t="shared" si="24"/>
        <v>102</v>
      </c>
      <c r="B264" s="189" t="str">
        <f t="shared" si="24"/>
        <v>521-14</v>
      </c>
      <c r="C264" s="189" t="str">
        <f t="shared" si="24"/>
        <v>Civil</v>
      </c>
      <c r="D264" s="189" t="str">
        <f t="shared" si="24"/>
        <v>8BV, 5CN</v>
      </c>
      <c r="E264" s="209">
        <f>'concentrado nocturno'!W24</f>
        <v>1887</v>
      </c>
      <c r="F264" s="209">
        <f>'concentrado nocturno'!X24</f>
        <v>2336</v>
      </c>
      <c r="G264" s="209">
        <f>'concentrado nocturno'!Y24</f>
        <v>2336</v>
      </c>
      <c r="H264" s="209" t="str">
        <f>'concentrado nocturno'!Z24</f>
        <v>A78</v>
      </c>
      <c r="I264" s="209" t="str">
        <f>'concentrado nocturno'!AA24</f>
        <v>A78</v>
      </c>
      <c r="J264" s="209">
        <f>'concentrado nocturno'!AB24</f>
        <v>0</v>
      </c>
      <c r="K264" s="193"/>
    </row>
    <row r="265" spans="1:11" ht="39.950000000000003" customHeight="1">
      <c r="A265" s="189">
        <f t="shared" si="24"/>
        <v>103</v>
      </c>
      <c r="B265" s="189" t="str">
        <f t="shared" si="24"/>
        <v>821-14</v>
      </c>
      <c r="C265" s="189" t="str">
        <f t="shared" si="24"/>
        <v>Civil</v>
      </c>
      <c r="D265" s="189" t="str">
        <f t="shared" si="24"/>
        <v>5AV, 8BN</v>
      </c>
      <c r="E265" s="209">
        <f>'concentrado nocturno'!W25</f>
        <v>2401</v>
      </c>
      <c r="F265" s="209">
        <f>'concentrado nocturno'!X25</f>
        <v>1152</v>
      </c>
      <c r="G265" s="209" t="str">
        <f>'concentrado nocturno'!Y25</f>
        <v>A136</v>
      </c>
      <c r="H265" s="209">
        <f>'concentrado nocturno'!Z25</f>
        <v>2468</v>
      </c>
      <c r="I265" s="209">
        <f>'concentrado nocturno'!AA25</f>
        <v>2468</v>
      </c>
      <c r="J265" s="209">
        <f>'concentrado nocturno'!AB25</f>
        <v>0</v>
      </c>
      <c r="K265" s="193"/>
    </row>
    <row r="266" spans="1:11" ht="39.950000000000003" customHeight="1">
      <c r="A266" s="189">
        <f t="shared" si="24"/>
        <v>103</v>
      </c>
      <c r="B266" s="189" t="str">
        <f t="shared" si="24"/>
        <v>1131-14</v>
      </c>
      <c r="C266" s="189" t="str">
        <f t="shared" si="24"/>
        <v>Civil</v>
      </c>
      <c r="D266" s="189">
        <f t="shared" si="24"/>
        <v>0</v>
      </c>
      <c r="E266" s="209">
        <f>'concentrado nocturno'!W26</f>
        <v>0</v>
      </c>
      <c r="F266" s="209">
        <f>'concentrado nocturno'!X26</f>
        <v>0</v>
      </c>
      <c r="G266" s="209">
        <f>'concentrado nocturno'!Y26</f>
        <v>0</v>
      </c>
      <c r="H266" s="209">
        <f>'concentrado nocturno'!Z26</f>
        <v>0</v>
      </c>
      <c r="I266" s="209">
        <f>'concentrado nocturno'!AA26</f>
        <v>0</v>
      </c>
      <c r="J266" s="209" t="str">
        <f>'concentrado nocturno'!AB26</f>
        <v>A169</v>
      </c>
      <c r="K266" s="193"/>
    </row>
    <row r="267" spans="1:11" ht="39.950000000000003" customHeight="1">
      <c r="A267" s="189">
        <f t="shared" si="24"/>
        <v>104</v>
      </c>
      <c r="B267" s="189" t="str">
        <f t="shared" si="24"/>
        <v>521-9</v>
      </c>
      <c r="C267" s="189" t="str">
        <f t="shared" si="24"/>
        <v>Negocios</v>
      </c>
      <c r="D267" s="189" t="str">
        <f t="shared" si="24"/>
        <v>8DV</v>
      </c>
      <c r="E267" s="209" t="str">
        <f>'concentrado nocturno'!W27</f>
        <v>A244</v>
      </c>
      <c r="F267" s="209" t="str">
        <f>'concentrado nocturno'!X27</f>
        <v>A244</v>
      </c>
      <c r="G267" s="209" t="str">
        <f>'concentrado nocturno'!Y27</f>
        <v>A198</v>
      </c>
      <c r="H267" s="209" t="str">
        <f>'concentrado nocturno'!Z27</f>
        <v>A55</v>
      </c>
      <c r="I267" s="209" t="str">
        <f>'concentrado nocturno'!AA27</f>
        <v>A55</v>
      </c>
      <c r="J267" s="209">
        <f>'concentrado nocturno'!AB27</f>
        <v>0</v>
      </c>
      <c r="K267" s="193"/>
    </row>
    <row r="268" spans="1:11" ht="39.950000000000003" customHeight="1">
      <c r="A268" s="385"/>
      <c r="B268" s="386"/>
      <c r="C268" s="386"/>
      <c r="D268" s="386"/>
      <c r="E268" s="386"/>
      <c r="F268" s="386"/>
      <c r="G268" s="386"/>
      <c r="H268" s="387"/>
      <c r="I268" s="193"/>
      <c r="J268" s="193"/>
      <c r="K268" s="193"/>
    </row>
    <row r="269" spans="1:11" ht="39.950000000000003" customHeight="1">
      <c r="A269" s="388" t="str">
        <f>A242</f>
        <v>REGISTRO DIARIO DE INCIDENCIAS</v>
      </c>
      <c r="B269" s="389"/>
      <c r="C269" s="389"/>
      <c r="D269" s="389"/>
      <c r="E269" s="389"/>
      <c r="F269" s="389"/>
      <c r="G269" s="389"/>
      <c r="H269" s="389"/>
      <c r="I269" s="389"/>
      <c r="J269" s="390"/>
      <c r="K269" s="193"/>
    </row>
    <row r="270" spans="1:11" ht="39.950000000000003" customHeight="1">
      <c r="A270" s="391" t="str">
        <f>A243</f>
        <v>PERIODO ENERO- ABRIL 2026</v>
      </c>
      <c r="B270" s="392"/>
      <c r="C270" s="392"/>
      <c r="D270" s="392"/>
      <c r="E270" s="392"/>
      <c r="F270" s="392"/>
      <c r="G270" s="392"/>
      <c r="H270" s="392"/>
      <c r="I270" s="392"/>
      <c r="J270" s="393"/>
      <c r="K270" s="193"/>
    </row>
    <row r="271" spans="1:11" ht="39.950000000000003" customHeight="1">
      <c r="A271" s="394" t="str">
        <f>A244</f>
        <v>TURNOS: VESP Y NOCTURNO</v>
      </c>
      <c r="B271" s="395"/>
      <c r="C271" s="395"/>
      <c r="D271" s="396">
        <f>D244</f>
        <v>46086</v>
      </c>
      <c r="E271" s="396"/>
      <c r="F271" s="396"/>
      <c r="G271" s="395" t="str">
        <f>G244</f>
        <v xml:space="preserve">SEM 9 LIC </v>
      </c>
      <c r="H271" s="395"/>
      <c r="I271" s="395"/>
      <c r="J271" s="397"/>
      <c r="K271" s="193"/>
    </row>
    <row r="272" spans="1:11" ht="39.950000000000003" customHeight="1">
      <c r="A272" s="190" t="str">
        <f>A245</f>
        <v>Aula</v>
      </c>
      <c r="B272" s="190" t="str">
        <f t="shared" ref="B272:J272" si="25">B245</f>
        <v>Gpo.</v>
      </c>
      <c r="C272" s="190" t="str">
        <f t="shared" si="25"/>
        <v>Licenciatura</v>
      </c>
      <c r="D272" s="190" t="str">
        <f t="shared" si="25"/>
        <v>Op</v>
      </c>
      <c r="E272" s="190" t="str">
        <f t="shared" si="25"/>
        <v>16:00</v>
      </c>
      <c r="F272" s="190" t="str">
        <f t="shared" si="25"/>
        <v>17:00</v>
      </c>
      <c r="G272" s="190" t="str">
        <f t="shared" si="25"/>
        <v>18:00</v>
      </c>
      <c r="H272" s="190" t="str">
        <f t="shared" si="25"/>
        <v>19:00</v>
      </c>
      <c r="I272" s="190" t="str">
        <f t="shared" si="25"/>
        <v>20:00</v>
      </c>
      <c r="J272" s="190" t="str">
        <f t="shared" si="25"/>
        <v>21:00</v>
      </c>
      <c r="K272" s="193"/>
    </row>
    <row r="273" spans="1:11" ht="39.950000000000003" customHeight="1">
      <c r="A273" s="227">
        <f t="shared" ref="A273:D274" si="26">A192</f>
        <v>201</v>
      </c>
      <c r="B273" s="227" t="str">
        <f t="shared" si="26"/>
        <v>1431-14</v>
      </c>
      <c r="C273" s="227" t="str">
        <f t="shared" si="26"/>
        <v>Civil</v>
      </c>
      <c r="D273" s="227" t="str">
        <f t="shared" si="26"/>
        <v>8AV, 5BV</v>
      </c>
      <c r="E273" s="209">
        <f>'concentrado nocturno'!W28</f>
        <v>0</v>
      </c>
      <c r="F273" s="209" t="str">
        <f>'concentrado nocturno'!X28</f>
        <v>A160 s007</v>
      </c>
      <c r="G273" s="209" t="str">
        <f>'concentrado nocturno'!Y28</f>
        <v>A160 s007</v>
      </c>
      <c r="H273" s="209">
        <f>'concentrado nocturno'!Z28</f>
        <v>1152</v>
      </c>
      <c r="I273" s="209">
        <f>'concentrado nocturno'!AA28</f>
        <v>1887</v>
      </c>
      <c r="J273" s="209">
        <f>'concentrado nocturno'!AB28</f>
        <v>1887</v>
      </c>
      <c r="K273" s="193"/>
    </row>
    <row r="274" spans="1:11" ht="39.950000000000003" customHeight="1" thickTop="1" thickBot="1">
      <c r="A274" s="227">
        <f t="shared" si="26"/>
        <v>202</v>
      </c>
      <c r="B274" s="227" t="str">
        <f t="shared" si="26"/>
        <v>831-14</v>
      </c>
      <c r="C274" s="227" t="str">
        <f t="shared" si="26"/>
        <v>Psicologia</v>
      </c>
      <c r="D274" s="227">
        <f t="shared" si="26"/>
        <v>0</v>
      </c>
      <c r="E274" s="209">
        <f>'concentrado nocturno'!W29</f>
        <v>0</v>
      </c>
      <c r="F274" s="209">
        <f>'concentrado nocturno'!X29</f>
        <v>0</v>
      </c>
      <c r="G274" s="209">
        <f>'concentrado nocturno'!Y29</f>
        <v>0</v>
      </c>
      <c r="H274" s="209">
        <f>'concentrado nocturno'!Z29</f>
        <v>2206</v>
      </c>
      <c r="I274" s="209">
        <f>'concentrado nocturno'!AA29</f>
        <v>1360</v>
      </c>
      <c r="J274" s="209">
        <f>'concentrado nocturno'!AB29</f>
        <v>2409</v>
      </c>
      <c r="K274" s="193"/>
    </row>
    <row r="275" spans="1:11" ht="39.950000000000003" customHeight="1" thickTop="1" thickBot="1">
      <c r="A275" s="227">
        <f t="shared" ref="A275:D285" si="27">A194</f>
        <v>204</v>
      </c>
      <c r="B275" s="227" t="str">
        <f t="shared" si="27"/>
        <v>731-13/831-14</v>
      </c>
      <c r="C275" s="227" t="str">
        <f t="shared" si="27"/>
        <v>Electro</v>
      </c>
      <c r="D275" s="227">
        <f t="shared" si="27"/>
        <v>0</v>
      </c>
      <c r="E275" s="209">
        <f>'concentrado nocturno'!W31</f>
        <v>0</v>
      </c>
      <c r="F275" s="209">
        <f>'concentrado nocturno'!X31</f>
        <v>0</v>
      </c>
      <c r="G275" s="209">
        <f>'concentrado nocturno'!Y31</f>
        <v>1662</v>
      </c>
      <c r="H275" s="209">
        <f>'concentrado nocturno'!Z31</f>
        <v>1662</v>
      </c>
      <c r="I275" s="209">
        <f>'concentrado nocturno'!AA31</f>
        <v>2310</v>
      </c>
      <c r="J275" s="209">
        <f>'concentrado nocturno'!AB31</f>
        <v>2310</v>
      </c>
      <c r="K275" s="193"/>
    </row>
    <row r="276" spans="1:11" ht="39.950000000000003" customHeight="1" thickTop="1" thickBot="1">
      <c r="A276" s="227">
        <f t="shared" si="27"/>
        <v>205</v>
      </c>
      <c r="B276" s="227" t="str">
        <f t="shared" si="27"/>
        <v>1121-14</v>
      </c>
      <c r="C276" s="227" t="str">
        <f t="shared" si="27"/>
        <v>Psicologia</v>
      </c>
      <c r="D276" s="227" t="str">
        <f t="shared" si="27"/>
        <v>8CV, 2BN</v>
      </c>
      <c r="E276" s="209">
        <f>'concentrado nocturno'!W32</f>
        <v>2396</v>
      </c>
      <c r="F276" s="209" t="str">
        <f>'concentrado nocturno'!X32</f>
        <v>2468 S002</v>
      </c>
      <c r="G276" s="209" t="str">
        <f>'concentrado nocturno'!Y32</f>
        <v>2468 S002</v>
      </c>
      <c r="H276" s="209" t="str">
        <f>'concentrado nocturno'!Z32</f>
        <v>A160</v>
      </c>
      <c r="I276" s="209" t="str">
        <f>'concentrado nocturno'!AA32</f>
        <v>A160</v>
      </c>
      <c r="J276" s="209">
        <f>'concentrado nocturno'!AB32</f>
        <v>0</v>
      </c>
      <c r="K276" s="193"/>
    </row>
    <row r="277" spans="1:11" ht="39.950000000000003" hidden="1" customHeight="1">
      <c r="A277" s="227">
        <f t="shared" si="27"/>
        <v>205</v>
      </c>
      <c r="B277" s="227">
        <f t="shared" si="27"/>
        <v>0</v>
      </c>
      <c r="C277" s="227">
        <f t="shared" si="27"/>
        <v>0</v>
      </c>
      <c r="D277" s="227">
        <f t="shared" si="27"/>
        <v>0</v>
      </c>
      <c r="E277" s="209">
        <f>'concentrado nocturno'!W33</f>
        <v>0</v>
      </c>
      <c r="F277" s="209">
        <f>'concentrado nocturno'!X33</f>
        <v>0</v>
      </c>
      <c r="G277" s="209">
        <f>'concentrado nocturno'!Y33</f>
        <v>0</v>
      </c>
      <c r="H277" s="209">
        <f>'concentrado nocturno'!Z33</f>
        <v>0</v>
      </c>
      <c r="I277" s="209">
        <f>'concentrado nocturno'!AA33</f>
        <v>0</v>
      </c>
      <c r="J277" s="209">
        <f>'concentrado nocturno'!AB33</f>
        <v>0</v>
      </c>
      <c r="K277" s="193"/>
    </row>
    <row r="278" spans="1:11" ht="39.950000000000003" customHeight="1" thickTop="1" thickBot="1">
      <c r="A278" s="227">
        <f t="shared" si="27"/>
        <v>206</v>
      </c>
      <c r="B278" s="227" t="str">
        <f t="shared" si="27"/>
        <v>231-14</v>
      </c>
      <c r="C278" s="227" t="str">
        <f t="shared" si="27"/>
        <v>Civil</v>
      </c>
      <c r="D278" s="227">
        <f t="shared" si="27"/>
        <v>0</v>
      </c>
      <c r="E278" s="209">
        <f>'concentrado nocturno'!W34</f>
        <v>0</v>
      </c>
      <c r="F278" s="209">
        <f>'concentrado nocturno'!X34</f>
        <v>0</v>
      </c>
      <c r="G278" s="209">
        <f>'concentrado nocturno'!Y34</f>
        <v>0</v>
      </c>
      <c r="H278" s="209" t="str">
        <f>'concentrado nocturno'!Z34</f>
        <v>A141</v>
      </c>
      <c r="I278" s="209" t="str">
        <f>'concentrado nocturno'!AA34</f>
        <v>634 CC</v>
      </c>
      <c r="J278" s="209" t="str">
        <f>'concentrado nocturno'!AB34</f>
        <v>634 CC</v>
      </c>
      <c r="K278" s="193"/>
    </row>
    <row r="279" spans="1:11" ht="39.950000000000003" customHeight="1" thickTop="1" thickBot="1">
      <c r="A279" s="227">
        <f t="shared" si="27"/>
        <v>207</v>
      </c>
      <c r="B279" s="227" t="str">
        <f t="shared" si="27"/>
        <v>231-14</v>
      </c>
      <c r="C279" s="227" t="str">
        <f t="shared" si="27"/>
        <v>Psicologia</v>
      </c>
      <c r="D279" s="227">
        <f t="shared" si="27"/>
        <v>0</v>
      </c>
      <c r="E279" s="209">
        <f>'concentrado nocturno'!W35</f>
        <v>0</v>
      </c>
      <c r="F279" s="209">
        <f>'concentrado nocturno'!X35</f>
        <v>0</v>
      </c>
      <c r="G279" s="209">
        <f>'concentrado nocturno'!Y35</f>
        <v>0</v>
      </c>
      <c r="H279" s="209">
        <f>'concentrado nocturno'!Z35</f>
        <v>2409</v>
      </c>
      <c r="I279" s="209">
        <f>'concentrado nocturno'!AA35</f>
        <v>2409</v>
      </c>
      <c r="J279" s="209">
        <f>'concentrado nocturno'!AB35</f>
        <v>1360</v>
      </c>
      <c r="K279" s="193"/>
    </row>
    <row r="280" spans="1:11" ht="39.950000000000003" customHeight="1">
      <c r="A280" s="227">
        <f t="shared" si="27"/>
        <v>209</v>
      </c>
      <c r="B280" s="227" t="str">
        <f t="shared" si="27"/>
        <v>1331-13/1431-14</v>
      </c>
      <c r="C280" s="227" t="str">
        <f t="shared" si="27"/>
        <v>Industrial</v>
      </c>
      <c r="D280" s="227">
        <f t="shared" si="27"/>
        <v>0</v>
      </c>
      <c r="E280" s="209">
        <f>'concentrado nocturno'!W37</f>
        <v>0</v>
      </c>
      <c r="F280" s="209">
        <f>'concentrado nocturno'!X37</f>
        <v>0</v>
      </c>
      <c r="G280" s="209">
        <f>'concentrado nocturno'!Y37</f>
        <v>0</v>
      </c>
      <c r="H280" s="209">
        <f>'concentrado nocturno'!Z37</f>
        <v>765</v>
      </c>
      <c r="I280" s="209">
        <f>'concentrado nocturno'!AA37</f>
        <v>2182</v>
      </c>
      <c r="J280" s="209">
        <f>'concentrado nocturno'!AB37</f>
        <v>1579</v>
      </c>
      <c r="K280" s="193"/>
    </row>
    <row r="281" spans="1:11" ht="39.950000000000003" customHeight="1">
      <c r="A281" s="227">
        <f t="shared" si="27"/>
        <v>208</v>
      </c>
      <c r="B281" s="227" t="str">
        <f t="shared" si="27"/>
        <v>821-9</v>
      </c>
      <c r="C281" s="227" t="str">
        <f t="shared" si="27"/>
        <v>Industrial</v>
      </c>
      <c r="D281" s="227">
        <f t="shared" si="27"/>
        <v>0</v>
      </c>
      <c r="E281" s="209" t="str">
        <f>'concentrado nocturno'!W36</f>
        <v>A95</v>
      </c>
      <c r="F281" s="209">
        <f>'concentrado nocturno'!X36</f>
        <v>0</v>
      </c>
      <c r="G281" s="209">
        <f>'concentrado nocturno'!Y36</f>
        <v>0</v>
      </c>
      <c r="H281" s="209" t="str">
        <f>'concentrado nocturno'!Z36</f>
        <v>A103</v>
      </c>
      <c r="I281" s="209">
        <f>'concentrado nocturno'!AA36</f>
        <v>1562</v>
      </c>
      <c r="J281" s="209">
        <f>'concentrado nocturno'!AB36</f>
        <v>0</v>
      </c>
      <c r="K281" s="193"/>
    </row>
    <row r="282" spans="1:11" ht="39.950000000000003" customHeight="1">
      <c r="A282" s="227">
        <f t="shared" si="27"/>
        <v>210</v>
      </c>
      <c r="B282" s="227" t="str">
        <f t="shared" si="27"/>
        <v>121-13</v>
      </c>
      <c r="C282" s="227" t="str">
        <f t="shared" si="27"/>
        <v>Psicologia</v>
      </c>
      <c r="D282" s="227">
        <f t="shared" si="27"/>
        <v>0</v>
      </c>
      <c r="E282" s="209">
        <f>'concentrado nocturno'!W38</f>
        <v>0</v>
      </c>
      <c r="F282" s="209">
        <f>'concentrado nocturno'!X38</f>
        <v>1581</v>
      </c>
      <c r="G282" s="209">
        <f>'concentrado nocturno'!Y38</f>
        <v>0</v>
      </c>
      <c r="H282" s="209">
        <f>'concentrado nocturno'!Z38</f>
        <v>1602</v>
      </c>
      <c r="I282" s="209" t="str">
        <f>'concentrado nocturno'!AA38</f>
        <v>A231</v>
      </c>
      <c r="J282" s="209">
        <f>'concentrado nocturno'!AB38</f>
        <v>0</v>
      </c>
      <c r="K282" s="193"/>
    </row>
    <row r="283" spans="1:11" ht="39.950000000000003" customHeight="1">
      <c r="A283" s="227">
        <f t="shared" si="27"/>
        <v>211</v>
      </c>
      <c r="B283" s="227" t="str">
        <f t="shared" si="27"/>
        <v>1431-14</v>
      </c>
      <c r="C283" s="227" t="str">
        <f t="shared" si="27"/>
        <v>FINANZAS</v>
      </c>
      <c r="D283" s="227">
        <f t="shared" si="27"/>
        <v>0</v>
      </c>
      <c r="E283" s="209">
        <f>'concentrado nocturno'!W39</f>
        <v>0</v>
      </c>
      <c r="F283" s="209">
        <f>'concentrado nocturno'!X39</f>
        <v>0</v>
      </c>
      <c r="G283" s="209">
        <f>'concentrado nocturno'!Y39</f>
        <v>0</v>
      </c>
      <c r="H283" s="209" t="str">
        <f>'concentrado nocturno'!Z39</f>
        <v>2448 CC4</v>
      </c>
      <c r="I283" s="209" t="str">
        <f>'concentrado nocturno'!AA39</f>
        <v>A238</v>
      </c>
      <c r="J283" s="209" t="str">
        <f>'concentrado nocturno'!AB39</f>
        <v>A238</v>
      </c>
      <c r="K283" s="193"/>
    </row>
    <row r="284" spans="1:11" ht="39.950000000000003" customHeight="1">
      <c r="A284" s="227">
        <f t="shared" si="27"/>
        <v>211</v>
      </c>
      <c r="B284" s="227" t="str">
        <f t="shared" si="27"/>
        <v>1421-14</v>
      </c>
      <c r="C284" s="227" t="str">
        <f t="shared" si="27"/>
        <v>Psicologia</v>
      </c>
      <c r="D284" s="227">
        <f t="shared" si="27"/>
        <v>0</v>
      </c>
      <c r="E284" s="209">
        <f>'concentrado nocturno'!W40</f>
        <v>1456</v>
      </c>
      <c r="F284" s="209" t="str">
        <f>'concentrado nocturno'!X40</f>
        <v>S219</v>
      </c>
      <c r="G284" s="209" t="str">
        <f>'concentrado nocturno'!Y40</f>
        <v>S219</v>
      </c>
      <c r="H284" s="209">
        <f>'concentrado nocturno'!Z40</f>
        <v>0</v>
      </c>
      <c r="I284" s="209">
        <f>'concentrado nocturno'!AA40</f>
        <v>0</v>
      </c>
      <c r="J284" s="209">
        <f>'concentrado nocturno'!AB40</f>
        <v>0</v>
      </c>
      <c r="K284" s="193"/>
    </row>
    <row r="285" spans="1:11" ht="39.950000000000003" customHeight="1">
      <c r="A285" s="227">
        <f t="shared" si="27"/>
        <v>212</v>
      </c>
      <c r="B285" s="227" t="str">
        <f t="shared" si="27"/>
        <v>421-8</v>
      </c>
      <c r="C285" s="227" t="str">
        <f t="shared" si="27"/>
        <v>Industrial</v>
      </c>
      <c r="D285" s="227">
        <f t="shared" si="27"/>
        <v>0</v>
      </c>
      <c r="E285" s="209">
        <f>'concentrado nocturno'!W41</f>
        <v>1581</v>
      </c>
      <c r="F285" s="209">
        <f>'concentrado nocturno'!X41</f>
        <v>964</v>
      </c>
      <c r="G285" s="209">
        <f>'concentrado nocturno'!Y41</f>
        <v>964</v>
      </c>
      <c r="H285" s="209" t="str">
        <f>'concentrado nocturno'!Z41</f>
        <v>S. 301-A</v>
      </c>
      <c r="I285" s="209" t="str">
        <f>'concentrado nocturno'!AA41</f>
        <v>S 301-A</v>
      </c>
      <c r="J285" s="209">
        <f>'concentrado nocturno'!AB41</f>
        <v>964</v>
      </c>
      <c r="K285" s="193"/>
    </row>
    <row r="286" spans="1:11" ht="39.950000000000003" customHeight="1">
      <c r="A286" s="227">
        <f t="shared" ref="A286:D296" si="28">A206</f>
        <v>213</v>
      </c>
      <c r="B286" s="227" t="str">
        <f t="shared" si="28"/>
        <v>521-14</v>
      </c>
      <c r="C286" s="227" t="str">
        <f t="shared" si="28"/>
        <v>FINANZAS</v>
      </c>
      <c r="D286" s="227">
        <f t="shared" si="28"/>
        <v>0</v>
      </c>
      <c r="E286" s="209" t="str">
        <f>'concentrado nocturno'!W43</f>
        <v>A166</v>
      </c>
      <c r="F286" s="209">
        <f>'concentrado nocturno'!X43</f>
        <v>0</v>
      </c>
      <c r="G286" s="209">
        <f>'concentrado nocturno'!Y43</f>
        <v>0</v>
      </c>
      <c r="H286" s="209">
        <f>'concentrado nocturno'!Z43</f>
        <v>0</v>
      </c>
      <c r="I286" s="209">
        <f>'concentrado nocturno'!AA43</f>
        <v>0</v>
      </c>
      <c r="J286" s="209">
        <f>'concentrado nocturno'!AB43</f>
        <v>0</v>
      </c>
      <c r="K286" s="193"/>
    </row>
    <row r="287" spans="1:11" ht="39.950000000000003" customHeight="1">
      <c r="A287" s="227">
        <f t="shared" si="28"/>
        <v>214</v>
      </c>
      <c r="B287" s="227">
        <f t="shared" si="28"/>
        <v>0</v>
      </c>
      <c r="C287" s="227">
        <f t="shared" si="28"/>
        <v>0</v>
      </c>
      <c r="D287" s="227">
        <f t="shared" si="28"/>
        <v>0</v>
      </c>
      <c r="E287" s="209">
        <f>'concentrado nocturno'!W44</f>
        <v>0</v>
      </c>
      <c r="F287" s="209">
        <f>'concentrado nocturno'!X44</f>
        <v>0</v>
      </c>
      <c r="G287" s="209">
        <f>'concentrado nocturno'!Y44</f>
        <v>0</v>
      </c>
      <c r="H287" s="209">
        <f>'concentrado nocturno'!Z44</f>
        <v>0</v>
      </c>
      <c r="I287" s="209">
        <f>'concentrado nocturno'!AA44</f>
        <v>0</v>
      </c>
      <c r="J287" s="209">
        <f>'concentrado nocturno'!AB44</f>
        <v>0</v>
      </c>
      <c r="K287" s="193"/>
    </row>
    <row r="288" spans="1:11" ht="39.950000000000003" customHeight="1">
      <c r="A288" s="227">
        <f t="shared" si="28"/>
        <v>215</v>
      </c>
      <c r="B288" s="227" t="str">
        <f t="shared" si="28"/>
        <v>1421-14</v>
      </c>
      <c r="C288" s="227" t="str">
        <f t="shared" si="28"/>
        <v>Compu</v>
      </c>
      <c r="D288" s="227">
        <f t="shared" si="28"/>
        <v>0</v>
      </c>
      <c r="E288" s="209">
        <f>'concentrado nocturno'!W45</f>
        <v>0</v>
      </c>
      <c r="F288" s="209" t="str">
        <f>'concentrado nocturno'!X45</f>
        <v>S219</v>
      </c>
      <c r="G288" s="209" t="str">
        <f>'concentrado nocturno'!Y45</f>
        <v>S219</v>
      </c>
      <c r="H288" s="209" t="str">
        <f>'concentrado nocturno'!Z45</f>
        <v>A38 CC3</v>
      </c>
      <c r="I288" s="209">
        <f>'concentrado nocturno'!AA45</f>
        <v>0</v>
      </c>
      <c r="J288" s="209">
        <f>'concentrado nocturno'!AB45</f>
        <v>0</v>
      </c>
      <c r="K288" s="193"/>
    </row>
    <row r="289" spans="1:11" ht="39.950000000000003" customHeight="1">
      <c r="A289" s="227">
        <f t="shared" si="28"/>
        <v>216</v>
      </c>
      <c r="B289" s="227" t="str">
        <f t="shared" si="28"/>
        <v>821-14</v>
      </c>
      <c r="C289" s="227" t="str">
        <f t="shared" si="28"/>
        <v>Mecatronica</v>
      </c>
      <c r="D289" s="227">
        <f t="shared" si="28"/>
        <v>0</v>
      </c>
      <c r="E289" s="209">
        <f>'concentrado nocturno'!W46</f>
        <v>0</v>
      </c>
      <c r="F289" s="209">
        <f>'concentrado nocturno'!X46</f>
        <v>2387</v>
      </c>
      <c r="G289" s="209" t="str">
        <f>'concentrado nocturno'!Y46</f>
        <v>1534 CC2</v>
      </c>
      <c r="H289" s="209" t="str">
        <f>'concentrado nocturno'!Z46</f>
        <v>A163</v>
      </c>
      <c r="I289" s="209" t="str">
        <f>'concentrado nocturno'!AA46</f>
        <v>A163</v>
      </c>
      <c r="J289" s="209">
        <f>'concentrado nocturno'!AB46</f>
        <v>0</v>
      </c>
      <c r="K289" s="193"/>
    </row>
    <row r="290" spans="1:11" ht="39.950000000000003" customHeight="1">
      <c r="A290" s="227">
        <f t="shared" si="28"/>
        <v>217</v>
      </c>
      <c r="B290" s="227">
        <f t="shared" si="28"/>
        <v>0</v>
      </c>
      <c r="C290" s="227">
        <f t="shared" si="28"/>
        <v>0</v>
      </c>
      <c r="D290" s="227">
        <f t="shared" si="28"/>
        <v>0</v>
      </c>
      <c r="E290" s="209">
        <f>'concentrado nocturno'!W47</f>
        <v>0</v>
      </c>
      <c r="F290" s="209">
        <f>'concentrado nocturno'!X47</f>
        <v>0</v>
      </c>
      <c r="G290" s="209">
        <f>'concentrado nocturno'!Y47</f>
        <v>0</v>
      </c>
      <c r="H290" s="209">
        <f>'concentrado nocturno'!Z47</f>
        <v>0</v>
      </c>
      <c r="I290" s="209">
        <f>'concentrado nocturno'!AA47</f>
        <v>0</v>
      </c>
      <c r="J290" s="209">
        <f>'concentrado nocturno'!AB47</f>
        <v>0</v>
      </c>
      <c r="K290" s="193"/>
    </row>
    <row r="291" spans="1:11" ht="39.950000000000003" customHeight="1" thickTop="1" thickBot="1">
      <c r="A291" s="227">
        <f t="shared" si="28"/>
        <v>218</v>
      </c>
      <c r="B291" s="227" t="str">
        <f t="shared" si="28"/>
        <v>1031-13/1131-14</v>
      </c>
      <c r="C291" s="227" t="str">
        <f t="shared" si="28"/>
        <v>Industrial</v>
      </c>
      <c r="D291" s="227">
        <f t="shared" si="28"/>
        <v>0</v>
      </c>
      <c r="E291" s="209">
        <f>'concentrado nocturno'!W48</f>
        <v>0</v>
      </c>
      <c r="F291" s="209">
        <f>'concentrado nocturno'!X48</f>
        <v>0</v>
      </c>
      <c r="G291" s="209">
        <f>'concentrado nocturno'!Y48</f>
        <v>0</v>
      </c>
      <c r="H291" s="209" t="str">
        <f>'concentrado nocturno'!Z48</f>
        <v>2451 s309A</v>
      </c>
      <c r="I291" s="209" t="str">
        <f>'concentrado nocturno'!AA48</f>
        <v>2451 s309A</v>
      </c>
      <c r="J291" s="209">
        <f>'concentrado nocturno'!AB48</f>
        <v>1567</v>
      </c>
      <c r="K291" s="193"/>
    </row>
    <row r="292" spans="1:11" ht="39.950000000000003" customHeight="1" thickTop="1" thickBot="1">
      <c r="A292" s="227" t="str">
        <f t="shared" si="28"/>
        <v>219-A</v>
      </c>
      <c r="B292" s="227" t="str">
        <f t="shared" si="28"/>
        <v>521-9</v>
      </c>
      <c r="C292" s="227" t="str">
        <f t="shared" si="28"/>
        <v>Mecatronica</v>
      </c>
      <c r="D292" s="227">
        <f t="shared" si="28"/>
        <v>0</v>
      </c>
      <c r="E292" s="209">
        <f>'concentrado nocturno'!W49</f>
        <v>2095</v>
      </c>
      <c r="F292" s="209" t="str">
        <f>'concentrado nocturno'!X49</f>
        <v>1094 CC1</v>
      </c>
      <c r="G292" s="209" t="str">
        <f>'concentrado nocturno'!Y49</f>
        <v>1602 S308</v>
      </c>
      <c r="H292" s="209" t="str">
        <f>'concentrado nocturno'!Z49</f>
        <v>A242 CC</v>
      </c>
      <c r="I292" s="209" t="str">
        <f>'concentrado nocturno'!AA49</f>
        <v>A242 CC</v>
      </c>
      <c r="J292" s="209">
        <f>'concentrado nocturno'!AB49</f>
        <v>0</v>
      </c>
      <c r="K292" s="193"/>
    </row>
    <row r="293" spans="1:11" ht="39.950000000000003" customHeight="1" thickTop="1" thickBot="1">
      <c r="A293" s="227">
        <f t="shared" si="28"/>
        <v>219</v>
      </c>
      <c r="B293" s="227">
        <f t="shared" si="28"/>
        <v>0</v>
      </c>
      <c r="C293" s="227">
        <f t="shared" si="28"/>
        <v>0</v>
      </c>
      <c r="D293" s="227">
        <f t="shared" si="28"/>
        <v>0</v>
      </c>
      <c r="E293" s="209">
        <f>'concentrado nocturno'!W50</f>
        <v>0</v>
      </c>
      <c r="F293" s="209">
        <f>'concentrado nocturno'!X50</f>
        <v>0</v>
      </c>
      <c r="G293" s="209">
        <f>'concentrado nocturno'!Y50</f>
        <v>0</v>
      </c>
      <c r="H293" s="209">
        <f>'concentrado nocturno'!Z50</f>
        <v>0</v>
      </c>
      <c r="I293" s="209">
        <f>'concentrado nocturno'!AA50</f>
        <v>0</v>
      </c>
      <c r="J293" s="209">
        <f>'concentrado nocturno'!AB50</f>
        <v>0</v>
      </c>
      <c r="K293" s="193"/>
    </row>
    <row r="294" spans="1:11" ht="39.950000000000003" customHeight="1">
      <c r="A294" s="227">
        <f t="shared" si="28"/>
        <v>220</v>
      </c>
      <c r="B294" s="227" t="str">
        <f t="shared" si="28"/>
        <v>1031-13/1131-14</v>
      </c>
      <c r="C294" s="227" t="str">
        <f t="shared" si="28"/>
        <v>Compu</v>
      </c>
      <c r="D294" s="227">
        <f t="shared" si="28"/>
        <v>0</v>
      </c>
      <c r="E294" s="209">
        <f>'concentrado nocturno'!W51</f>
        <v>0</v>
      </c>
      <c r="F294" s="209">
        <f>'concentrado nocturno'!X51</f>
        <v>0</v>
      </c>
      <c r="G294" s="209" t="str">
        <f>'concentrado nocturno'!Y51</f>
        <v>S 208</v>
      </c>
      <c r="H294" s="209">
        <f>'concentrado nocturno'!Z51</f>
        <v>0</v>
      </c>
      <c r="I294" s="209">
        <f>'concentrado nocturno'!AA51</f>
        <v>0</v>
      </c>
      <c r="J294" s="209">
        <f>'concentrado nocturno'!AB51</f>
        <v>0</v>
      </c>
      <c r="K294" s="193"/>
    </row>
    <row r="295" spans="1:11" ht="39.950000000000003" customHeight="1" thickTop="1" thickBot="1">
      <c r="A295" s="227">
        <f t="shared" si="28"/>
        <v>221</v>
      </c>
      <c r="B295" s="227" t="str">
        <f t="shared" si="28"/>
        <v>731-13/831-14</v>
      </c>
      <c r="C295" s="227" t="str">
        <f t="shared" si="28"/>
        <v>Compu</v>
      </c>
      <c r="D295" s="227">
        <f t="shared" si="28"/>
        <v>0</v>
      </c>
      <c r="E295" s="209">
        <f>'concentrado nocturno'!W52</f>
        <v>0</v>
      </c>
      <c r="F295" s="209">
        <f>'concentrado nocturno'!X52</f>
        <v>0</v>
      </c>
      <c r="G295" s="209">
        <f>'concentrado nocturno'!Y52</f>
        <v>2453</v>
      </c>
      <c r="H295" s="209" t="str">
        <f>'concentrado nocturno'!Z52</f>
        <v>1035 Sim</v>
      </c>
      <c r="I295" s="209">
        <f>'concentrado nocturno'!AA52</f>
        <v>2101</v>
      </c>
      <c r="J295" s="209">
        <f>'concentrado nocturno'!AB52</f>
        <v>0</v>
      </c>
      <c r="K295" s="193"/>
    </row>
    <row r="296" spans="1:11" ht="39.950000000000003" customHeight="1" thickTop="1" thickBot="1">
      <c r="A296" s="227">
        <f t="shared" si="28"/>
        <v>0</v>
      </c>
      <c r="B296" s="227">
        <f t="shared" si="28"/>
        <v>0</v>
      </c>
      <c r="C296" s="227">
        <f t="shared" si="28"/>
        <v>0</v>
      </c>
      <c r="D296" s="227">
        <f t="shared" si="28"/>
        <v>0</v>
      </c>
      <c r="E296" s="209">
        <f>'concentrado nocturno'!W76</f>
        <v>0</v>
      </c>
      <c r="F296" s="209">
        <f>'concentrado nocturno'!X76</f>
        <v>0</v>
      </c>
      <c r="G296" s="209">
        <f>'concentrado nocturno'!Y76</f>
        <v>0</v>
      </c>
      <c r="H296" s="209">
        <f>'concentrado nocturno'!Z76</f>
        <v>0</v>
      </c>
      <c r="I296" s="209">
        <f>'concentrado nocturno'!AA76</f>
        <v>0</v>
      </c>
      <c r="J296" s="209">
        <f>'concentrado nocturno'!AB76</f>
        <v>0</v>
      </c>
      <c r="K296" s="193"/>
    </row>
    <row r="297" spans="1:11" ht="39.950000000000003" customHeight="1" thickTop="1" thickBot="1">
      <c r="A297" s="228">
        <f>A216</f>
        <v>0</v>
      </c>
      <c r="B297" s="228">
        <f>B216</f>
        <v>0</v>
      </c>
      <c r="C297" s="228">
        <f>C216</f>
        <v>0</v>
      </c>
      <c r="D297" s="228">
        <f>D216</f>
        <v>0</v>
      </c>
      <c r="E297" s="229"/>
      <c r="F297" s="230"/>
      <c r="G297" s="230"/>
      <c r="H297" s="230"/>
      <c r="I297" s="230"/>
      <c r="J297" s="232"/>
      <c r="K297" s="231"/>
    </row>
    <row r="298" spans="1:11" ht="39.950000000000003" customHeight="1">
      <c r="A298" s="385"/>
      <c r="B298" s="386"/>
      <c r="C298" s="386"/>
      <c r="D298" s="386"/>
      <c r="E298" s="386"/>
      <c r="F298" s="386"/>
      <c r="G298" s="386"/>
      <c r="H298" s="387"/>
      <c r="I298" s="193"/>
      <c r="J298" s="193"/>
      <c r="K298" s="193"/>
    </row>
    <row r="299" spans="1:11" ht="39.950000000000003" customHeight="1">
      <c r="A299" s="388" t="str">
        <f>A269</f>
        <v>REGISTRO DIARIO DE INCIDENCIAS</v>
      </c>
      <c r="B299" s="389"/>
      <c r="C299" s="389"/>
      <c r="D299" s="389"/>
      <c r="E299" s="389"/>
      <c r="F299" s="389"/>
      <c r="G299" s="389"/>
      <c r="H299" s="389"/>
      <c r="I299" s="389"/>
      <c r="J299" s="390"/>
      <c r="K299" s="193"/>
    </row>
    <row r="300" spans="1:11" ht="39.950000000000003" customHeight="1">
      <c r="A300" s="391" t="str">
        <f>A270</f>
        <v>PERIODO ENERO- ABRIL 2026</v>
      </c>
      <c r="B300" s="392"/>
      <c r="C300" s="392"/>
      <c r="D300" s="392"/>
      <c r="E300" s="392"/>
      <c r="F300" s="392"/>
      <c r="G300" s="392"/>
      <c r="H300" s="392"/>
      <c r="I300" s="392"/>
      <c r="J300" s="393"/>
      <c r="K300" s="193"/>
    </row>
    <row r="301" spans="1:11" ht="39.950000000000003" customHeight="1">
      <c r="A301" s="394" t="str">
        <f>A271</f>
        <v>TURNOS: VESP Y NOCTURNO</v>
      </c>
      <c r="B301" s="395"/>
      <c r="C301" s="395"/>
      <c r="D301" s="396">
        <f>D271</f>
        <v>46086</v>
      </c>
      <c r="E301" s="396"/>
      <c r="F301" s="396"/>
      <c r="G301" s="395" t="str">
        <f>G271</f>
        <v xml:space="preserve">SEM 9 LIC </v>
      </c>
      <c r="H301" s="395"/>
      <c r="I301" s="395"/>
      <c r="J301" s="397"/>
      <c r="K301" s="193"/>
    </row>
    <row r="302" spans="1:11" ht="39.950000000000003" customHeight="1">
      <c r="A302" s="190" t="str">
        <f>A272</f>
        <v>Aula</v>
      </c>
      <c r="B302" s="190" t="str">
        <f>B272</f>
        <v>Gpo.</v>
      </c>
      <c r="C302" s="190" t="str">
        <f>C272</f>
        <v>Licenciatura</v>
      </c>
      <c r="D302" s="190" t="str">
        <f>D272</f>
        <v>Op</v>
      </c>
      <c r="E302" s="190" t="str">
        <f>E272</f>
        <v>16:00</v>
      </c>
      <c r="F302" s="190" t="str">
        <f>F272</f>
        <v>17:00</v>
      </c>
      <c r="G302" s="190" t="str">
        <f>G272</f>
        <v>18:00</v>
      </c>
      <c r="H302" s="190" t="str">
        <f>H272</f>
        <v>19:00</v>
      </c>
      <c r="I302" s="190" t="str">
        <f>I272</f>
        <v>20:00</v>
      </c>
      <c r="J302" s="190" t="str">
        <f>J272</f>
        <v>21:00</v>
      </c>
      <c r="K302" s="193"/>
    </row>
    <row r="303" spans="1:11" ht="39.950000000000003" customHeight="1">
      <c r="A303" s="189">
        <f t="shared" ref="A303:D321" si="29">A221</f>
        <v>301</v>
      </c>
      <c r="B303" s="189" t="str">
        <f t="shared" si="29"/>
        <v>521-9</v>
      </c>
      <c r="C303" s="189" t="str">
        <f t="shared" si="29"/>
        <v>Civil</v>
      </c>
      <c r="D303" s="189">
        <f t="shared" si="29"/>
        <v>0</v>
      </c>
      <c r="E303" s="209" t="str">
        <f>'concentrado nocturno'!W53</f>
        <v>S 102</v>
      </c>
      <c r="F303" s="209" t="str">
        <f>'concentrado nocturno'!X53</f>
        <v>A136</v>
      </c>
      <c r="G303" s="209">
        <f>'concentrado nocturno'!Y53</f>
        <v>1152</v>
      </c>
      <c r="H303" s="209" t="str">
        <f>'concentrado nocturno'!Z53</f>
        <v>A169</v>
      </c>
      <c r="I303" s="209" t="str">
        <f>'concentrado nocturno'!AA53</f>
        <v>A169</v>
      </c>
      <c r="J303" s="209">
        <f>'concentrado nocturno'!AB53</f>
        <v>0</v>
      </c>
      <c r="K303" s="193"/>
    </row>
    <row r="304" spans="1:11" ht="39.950000000000003" customHeight="1">
      <c r="A304" s="237" t="str">
        <f t="shared" si="29"/>
        <v>301-A</v>
      </c>
      <c r="B304" s="189" t="str">
        <f t="shared" si="29"/>
        <v>521-9</v>
      </c>
      <c r="C304" s="189" t="str">
        <f t="shared" si="29"/>
        <v>Industrial</v>
      </c>
      <c r="D304" s="189">
        <f t="shared" si="29"/>
        <v>0</v>
      </c>
      <c r="E304" s="209">
        <f>'concentrado nocturno'!W54</f>
        <v>964</v>
      </c>
      <c r="F304" s="209" t="str">
        <f>'concentrado nocturno'!X54</f>
        <v>A95</v>
      </c>
      <c r="G304" s="209" t="str">
        <f>'concentrado nocturno'!Y54</f>
        <v>A95</v>
      </c>
      <c r="H304" s="209" t="str">
        <f>'concentrado nocturno'!Z54</f>
        <v>A225</v>
      </c>
      <c r="I304" s="209" t="str">
        <f>'concentrado nocturno'!AA54</f>
        <v>1246 s218</v>
      </c>
      <c r="J304" s="209">
        <f>'concentrado nocturno'!AB54</f>
        <v>0</v>
      </c>
      <c r="K304" s="193"/>
    </row>
    <row r="305" spans="1:11" ht="39.950000000000003" customHeight="1">
      <c r="A305" s="189">
        <f t="shared" si="29"/>
        <v>302</v>
      </c>
      <c r="B305" s="189" t="str">
        <f t="shared" si="29"/>
        <v>221-9</v>
      </c>
      <c r="C305" s="189" t="str">
        <f t="shared" si="29"/>
        <v>Psicologia</v>
      </c>
      <c r="D305" s="189">
        <f t="shared" si="29"/>
        <v>0</v>
      </c>
      <c r="E305" s="209">
        <f>'concentrado nocturno'!W55</f>
        <v>2206</v>
      </c>
      <c r="F305" s="209">
        <f>'concentrado nocturno'!X55</f>
        <v>0</v>
      </c>
      <c r="G305" s="209">
        <f>'concentrado nocturno'!Y55</f>
        <v>0</v>
      </c>
      <c r="H305" s="209" t="str">
        <f>'concentrado nocturno'!Z55</f>
        <v>S 207</v>
      </c>
      <c r="I305" s="209" t="str">
        <f>'concentrado nocturno'!AA55</f>
        <v>S 207</v>
      </c>
      <c r="J305" s="209">
        <f>'concentrado nocturno'!AB55</f>
        <v>0</v>
      </c>
      <c r="K305" s="193"/>
    </row>
    <row r="306" spans="1:11" ht="39.950000000000003" customHeight="1">
      <c r="A306" s="189">
        <f t="shared" si="29"/>
        <v>303</v>
      </c>
      <c r="B306" s="189" t="str">
        <f t="shared" si="29"/>
        <v>521-9</v>
      </c>
      <c r="C306" s="189" t="str">
        <f t="shared" si="29"/>
        <v>FINANZAS</v>
      </c>
      <c r="D306" s="189">
        <f t="shared" si="29"/>
        <v>0</v>
      </c>
      <c r="E306" s="209">
        <f>'concentrado nocturno'!W56</f>
        <v>1567</v>
      </c>
      <c r="F306" s="209">
        <f>'concentrado nocturno'!X56</f>
        <v>1246</v>
      </c>
      <c r="G306" s="209">
        <f>'concentrado nocturno'!Y56</f>
        <v>2040</v>
      </c>
      <c r="H306" s="209" t="str">
        <f>'concentrado nocturno'!Z56</f>
        <v>A228</v>
      </c>
      <c r="I306" s="209" t="str">
        <f>'concentrado nocturno'!AA56</f>
        <v>A228</v>
      </c>
      <c r="J306" s="209">
        <f>'concentrado nocturno'!AB56</f>
        <v>0</v>
      </c>
      <c r="K306" s="193"/>
    </row>
    <row r="307" spans="1:11" ht="39.950000000000003" customHeight="1">
      <c r="A307" s="189">
        <f t="shared" si="29"/>
        <v>304</v>
      </c>
      <c r="B307" s="189" t="str">
        <f t="shared" si="29"/>
        <v>1131-14</v>
      </c>
      <c r="C307" s="189" t="str">
        <f t="shared" si="29"/>
        <v>Electro</v>
      </c>
      <c r="D307" s="189">
        <f t="shared" si="29"/>
        <v>0</v>
      </c>
      <c r="E307" s="209">
        <f>'concentrado nocturno'!W57</f>
        <v>0</v>
      </c>
      <c r="F307" s="209">
        <f>'concentrado nocturno'!X57</f>
        <v>0</v>
      </c>
      <c r="G307" s="209">
        <f>'concentrado nocturno'!Y57</f>
        <v>1246</v>
      </c>
      <c r="H307" s="209" t="str">
        <f>'concentrado nocturno'!Z57</f>
        <v>2451 s309A</v>
      </c>
      <c r="I307" s="209" t="str">
        <f>'concentrado nocturno'!AA57</f>
        <v>2451 s309A</v>
      </c>
      <c r="J307" s="209">
        <f>'concentrado nocturno'!AB57</f>
        <v>1534</v>
      </c>
      <c r="K307" s="193"/>
    </row>
    <row r="308" spans="1:11" ht="39.950000000000003" customHeight="1">
      <c r="A308" s="189">
        <f t="shared" si="29"/>
        <v>305</v>
      </c>
      <c r="B308" s="189" t="str">
        <f t="shared" si="29"/>
        <v>221-9</v>
      </c>
      <c r="C308" s="189" t="str">
        <f t="shared" si="29"/>
        <v>Negocios</v>
      </c>
      <c r="D308" s="189">
        <f t="shared" si="29"/>
        <v>0</v>
      </c>
      <c r="E308" s="209">
        <f>'concentrado nocturno'!W58</f>
        <v>992</v>
      </c>
      <c r="F308" s="209" t="str">
        <f>'concentrado nocturno'!X58</f>
        <v>A200</v>
      </c>
      <c r="G308" s="209" t="str">
        <f>'concentrado nocturno'!Y58</f>
        <v>A200</v>
      </c>
      <c r="H308" s="209">
        <f>'concentrado nocturno'!Z58</f>
        <v>2472</v>
      </c>
      <c r="I308" s="209">
        <f>'concentrado nocturno'!AA58</f>
        <v>2472</v>
      </c>
      <c r="J308" s="209">
        <f>'concentrado nocturno'!AB58</f>
        <v>0</v>
      </c>
      <c r="K308" s="193"/>
    </row>
    <row r="309" spans="1:11" ht="39.950000000000003" customHeight="1">
      <c r="A309" s="189">
        <f t="shared" si="29"/>
        <v>306</v>
      </c>
      <c r="B309" s="189">
        <f t="shared" si="29"/>
        <v>0</v>
      </c>
      <c r="C309" s="189">
        <f t="shared" si="29"/>
        <v>0</v>
      </c>
      <c r="D309" s="189" t="str">
        <f t="shared" si="29"/>
        <v>11AN</v>
      </c>
      <c r="E309" s="209">
        <f>'concentrado nocturno'!W59</f>
        <v>0</v>
      </c>
      <c r="F309" s="209">
        <f>'concentrado nocturno'!X59</f>
        <v>0</v>
      </c>
      <c r="G309" s="209">
        <f>'concentrado nocturno'!Y59</f>
        <v>0</v>
      </c>
      <c r="H309" s="209">
        <f>'concentrado nocturno'!Z59</f>
        <v>2476</v>
      </c>
      <c r="I309" s="209">
        <f>'concentrado nocturno'!AA59</f>
        <v>2476</v>
      </c>
      <c r="J309" s="209">
        <f>'concentrado nocturno'!AB59</f>
        <v>0</v>
      </c>
      <c r="K309" s="193"/>
    </row>
    <row r="310" spans="1:11" ht="39.950000000000003" customHeight="1">
      <c r="A310" s="189">
        <f t="shared" si="29"/>
        <v>307</v>
      </c>
      <c r="B310" s="189" t="str">
        <f t="shared" si="29"/>
        <v>231-14</v>
      </c>
      <c r="C310" s="189" t="str">
        <f t="shared" si="29"/>
        <v>Industrial</v>
      </c>
      <c r="D310" s="189">
        <f t="shared" si="29"/>
        <v>0</v>
      </c>
      <c r="E310" s="209">
        <f>'concentrado nocturno'!W60</f>
        <v>0</v>
      </c>
      <c r="F310" s="209">
        <f>'concentrado nocturno'!X60</f>
        <v>0</v>
      </c>
      <c r="G310" s="209">
        <f>'concentrado nocturno'!Y60</f>
        <v>1153</v>
      </c>
      <c r="H310" s="209" t="str">
        <f>'concentrado nocturno'!Z60</f>
        <v>A182 CC</v>
      </c>
      <c r="I310" s="209" t="str">
        <f>'concentrado nocturno'!AA60</f>
        <v>A182 CC</v>
      </c>
      <c r="J310" s="209">
        <f>'concentrado nocturno'!AB60</f>
        <v>0</v>
      </c>
      <c r="K310" s="193"/>
    </row>
    <row r="311" spans="1:11" ht="39.950000000000003" customHeight="1">
      <c r="A311" s="189">
        <f t="shared" si="29"/>
        <v>308</v>
      </c>
      <c r="B311" s="189" t="str">
        <f t="shared" si="29"/>
        <v>831-14</v>
      </c>
      <c r="C311" s="189" t="str">
        <f t="shared" si="29"/>
        <v>Civil</v>
      </c>
      <c r="D311" s="189">
        <f t="shared" si="29"/>
        <v>0</v>
      </c>
      <c r="E311" s="209">
        <f>'concentrado nocturno'!W61</f>
        <v>0</v>
      </c>
      <c r="F311" s="209">
        <f>'concentrado nocturno'!X61</f>
        <v>0</v>
      </c>
      <c r="G311" s="209">
        <f>'concentrado nocturno'!Y61</f>
        <v>1602</v>
      </c>
      <c r="H311" s="209" t="str">
        <f>'concentrado nocturno'!Z61</f>
        <v>A43</v>
      </c>
      <c r="I311" s="209" t="str">
        <f>'concentrado nocturno'!AA61</f>
        <v>A43</v>
      </c>
      <c r="J311" s="209">
        <f>'concentrado nocturno'!AB61</f>
        <v>2401</v>
      </c>
      <c r="K311" s="193"/>
    </row>
    <row r="312" spans="1:11" ht="39.950000000000003" customHeight="1">
      <c r="A312" s="189">
        <f t="shared" si="29"/>
        <v>309</v>
      </c>
      <c r="B312" s="189" t="str">
        <f t="shared" si="29"/>
        <v xml:space="preserve">731-13   </v>
      </c>
      <c r="C312" s="189" t="str">
        <f t="shared" si="29"/>
        <v>Industrial</v>
      </c>
      <c r="D312" s="189">
        <f t="shared" si="29"/>
        <v>0</v>
      </c>
      <c r="E312" s="209">
        <f>'concentrado nocturno'!W62</f>
        <v>0</v>
      </c>
      <c r="F312" s="209">
        <f>'concentrado nocturno'!X62</f>
        <v>0</v>
      </c>
      <c r="G312" s="209">
        <f>'concentrado nocturno'!Y62</f>
        <v>0</v>
      </c>
      <c r="H312" s="209" t="str">
        <f>'concentrado nocturno'!Z62</f>
        <v>S 313</v>
      </c>
      <c r="I312" s="209">
        <f>'concentrado nocturno'!AA62</f>
        <v>2525</v>
      </c>
      <c r="J312" s="209">
        <f>'concentrado nocturno'!AB62</f>
        <v>2525</v>
      </c>
      <c r="K312" s="193"/>
    </row>
    <row r="313" spans="1:11" ht="39.950000000000003" customHeight="1">
      <c r="A313" s="237" t="str">
        <f t="shared" si="29"/>
        <v>309-A</v>
      </c>
      <c r="B313" s="189" t="str">
        <f t="shared" si="29"/>
        <v>531-14</v>
      </c>
      <c r="C313" s="189" t="str">
        <f t="shared" si="29"/>
        <v>Psicologia</v>
      </c>
      <c r="D313" s="189" t="str">
        <f t="shared" si="29"/>
        <v>2AN</v>
      </c>
      <c r="E313" s="209">
        <f>'concentrado nocturno'!W63</f>
        <v>0</v>
      </c>
      <c r="F313" s="209">
        <f>'concentrado nocturno'!X63</f>
        <v>0</v>
      </c>
      <c r="G313" s="209">
        <f>'concentrado nocturno'!Y63</f>
        <v>0</v>
      </c>
      <c r="H313" s="209">
        <f>'concentrado nocturno'!Z63</f>
        <v>2451</v>
      </c>
      <c r="I313" s="209">
        <f>'concentrado nocturno'!AA63</f>
        <v>2451</v>
      </c>
      <c r="J313" s="209" t="str">
        <f>'concentrado nocturno'!AB63</f>
        <v>1836 sl02</v>
      </c>
      <c r="K313" s="193"/>
    </row>
    <row r="314" spans="1:11" ht="39.950000000000003" customHeight="1">
      <c r="A314" s="189">
        <f t="shared" si="29"/>
        <v>310</v>
      </c>
      <c r="B314" s="189">
        <f t="shared" si="29"/>
        <v>0</v>
      </c>
      <c r="C314" s="189">
        <f t="shared" si="29"/>
        <v>0</v>
      </c>
      <c r="D314" s="189">
        <f t="shared" si="29"/>
        <v>0</v>
      </c>
      <c r="E314" s="209">
        <f>'concentrado nocturno'!W64</f>
        <v>0</v>
      </c>
      <c r="F314" s="209">
        <f>'concentrado nocturno'!X64</f>
        <v>0</v>
      </c>
      <c r="G314" s="209">
        <f>'concentrado nocturno'!Y64</f>
        <v>0</v>
      </c>
      <c r="H314" s="209">
        <f>'concentrado nocturno'!Z64</f>
        <v>0</v>
      </c>
      <c r="I314" s="209">
        <f>'concentrado nocturno'!AA64</f>
        <v>0</v>
      </c>
      <c r="J314" s="209">
        <f>'concentrado nocturno'!AB64</f>
        <v>0</v>
      </c>
      <c r="K314" s="193"/>
    </row>
    <row r="315" spans="1:11" ht="39.950000000000003" customHeight="1">
      <c r="A315" s="189">
        <f t="shared" si="29"/>
        <v>311</v>
      </c>
      <c r="B315" s="189" t="str">
        <f t="shared" si="29"/>
        <v>431-13/531-14</v>
      </c>
      <c r="C315" s="189" t="str">
        <f t="shared" si="29"/>
        <v>Mecatronica</v>
      </c>
      <c r="D315" s="189">
        <f t="shared" si="29"/>
        <v>0</v>
      </c>
      <c r="E315" s="209">
        <f>'concentrado nocturno'!W65</f>
        <v>0</v>
      </c>
      <c r="F315" s="209">
        <f>'concentrado nocturno'!X65</f>
        <v>0</v>
      </c>
      <c r="G315" s="209">
        <f>'concentrado nocturno'!Y65</f>
        <v>0</v>
      </c>
      <c r="H315" s="209">
        <f>'concentrado nocturno'!Z65</f>
        <v>0</v>
      </c>
      <c r="I315" s="209">
        <f>'concentrado nocturno'!AA65</f>
        <v>0</v>
      </c>
      <c r="J315" s="209" t="str">
        <f>'concentrado nocturno'!AB65</f>
        <v>A242</v>
      </c>
      <c r="K315" s="193"/>
    </row>
    <row r="316" spans="1:11" ht="39.950000000000003" customHeight="1">
      <c r="A316" s="189">
        <f t="shared" si="29"/>
        <v>312</v>
      </c>
      <c r="B316" s="189" t="str">
        <f t="shared" si="29"/>
        <v>231-14</v>
      </c>
      <c r="C316" s="189" t="str">
        <f t="shared" si="29"/>
        <v>Mecatronica</v>
      </c>
      <c r="D316" s="189">
        <f t="shared" si="29"/>
        <v>0</v>
      </c>
      <c r="E316" s="209">
        <f>'concentrado nocturno'!W66</f>
        <v>0</v>
      </c>
      <c r="F316" s="209">
        <f>'concentrado nocturno'!X66</f>
        <v>2095</v>
      </c>
      <c r="G316" s="209">
        <f>'concentrado nocturno'!Y66</f>
        <v>2095</v>
      </c>
      <c r="H316" s="209">
        <f>'concentrado nocturno'!Z66</f>
        <v>2453</v>
      </c>
      <c r="I316" s="209">
        <f>'concentrado nocturno'!AA66</f>
        <v>0</v>
      </c>
      <c r="J316" s="209">
        <f>'concentrado nocturno'!AB66</f>
        <v>0</v>
      </c>
      <c r="K316" s="193"/>
    </row>
    <row r="317" spans="1:11" ht="39.950000000000003" customHeight="1">
      <c r="A317" s="189">
        <f t="shared" si="29"/>
        <v>313</v>
      </c>
      <c r="B317" s="189" t="str">
        <f t="shared" si="29"/>
        <v>731-13/831-14</v>
      </c>
      <c r="C317" s="189" t="str">
        <f t="shared" si="29"/>
        <v>Industrial</v>
      </c>
      <c r="D317" s="189" t="str">
        <f t="shared" si="29"/>
        <v>5AN</v>
      </c>
      <c r="E317" s="209">
        <f>'concentrado nocturno'!W67</f>
        <v>0</v>
      </c>
      <c r="F317" s="209">
        <f>'concentrado nocturno'!X67</f>
        <v>0</v>
      </c>
      <c r="G317" s="209">
        <f>'concentrado nocturno'!Y67</f>
        <v>0</v>
      </c>
      <c r="H317" s="209">
        <f>'concentrado nocturno'!Z67</f>
        <v>964</v>
      </c>
      <c r="I317" s="209" t="str">
        <f>'concentrado nocturno'!AA67</f>
        <v>A103</v>
      </c>
      <c r="J317" s="209" t="str">
        <f>'concentrado nocturno'!AB67</f>
        <v>A103</v>
      </c>
      <c r="K317" s="193"/>
    </row>
    <row r="318" spans="1:11" ht="39.950000000000003" customHeight="1">
      <c r="A318" s="189">
        <f t="shared" si="29"/>
        <v>314</v>
      </c>
      <c r="B318" s="189" t="str">
        <f t="shared" si="29"/>
        <v>1031-13/1131-14</v>
      </c>
      <c r="C318" s="189" t="str">
        <f t="shared" si="29"/>
        <v>Mecatronica</v>
      </c>
      <c r="D318" s="189">
        <f t="shared" si="29"/>
        <v>0</v>
      </c>
      <c r="E318" s="209">
        <f>'concentrado nocturno'!W68</f>
        <v>0</v>
      </c>
      <c r="F318" s="209">
        <f>'concentrado nocturno'!X68</f>
        <v>0</v>
      </c>
      <c r="G318" s="209">
        <f>'concentrado nocturno'!Y68</f>
        <v>0</v>
      </c>
      <c r="H318" s="209">
        <f>'concentrado nocturno'!Z68</f>
        <v>0</v>
      </c>
      <c r="I318" s="209">
        <f>'concentrado nocturno'!AA68</f>
        <v>0</v>
      </c>
      <c r="J318" s="209">
        <f>'concentrado nocturno'!AB68</f>
        <v>2101</v>
      </c>
      <c r="K318" s="193"/>
    </row>
    <row r="319" spans="1:11" ht="39.950000000000003" customHeight="1">
      <c r="A319" s="189">
        <f t="shared" si="29"/>
        <v>315</v>
      </c>
      <c r="B319" s="189" t="str">
        <f t="shared" si="29"/>
        <v>531-14</v>
      </c>
      <c r="C319" s="189" t="str">
        <f t="shared" si="29"/>
        <v>Industrial</v>
      </c>
      <c r="D319" s="189">
        <f t="shared" si="29"/>
        <v>0</v>
      </c>
      <c r="E319" s="209">
        <f>'concentrado nocturno'!W69</f>
        <v>0</v>
      </c>
      <c r="F319" s="209">
        <f>'concentrado nocturno'!X69</f>
        <v>0</v>
      </c>
      <c r="G319" s="209">
        <f>'concentrado nocturno'!Y69</f>
        <v>0</v>
      </c>
      <c r="H319" s="209">
        <f>'concentrado nocturno'!Z69</f>
        <v>0</v>
      </c>
      <c r="I319" s="209">
        <f>'concentrado nocturno'!AA69</f>
        <v>0</v>
      </c>
      <c r="J319" s="209" t="str">
        <f>'concentrado nocturno'!AB69</f>
        <v>A182</v>
      </c>
      <c r="K319" s="193"/>
    </row>
    <row r="320" spans="1:11" ht="39.950000000000003" customHeight="1">
      <c r="A320" s="189">
        <f t="shared" si="29"/>
        <v>316</v>
      </c>
      <c r="B320" s="189" t="str">
        <f t="shared" si="29"/>
        <v>231-14</v>
      </c>
      <c r="C320" s="189" t="str">
        <f t="shared" si="29"/>
        <v>FINANZAS</v>
      </c>
      <c r="D320" s="189">
        <f t="shared" si="29"/>
        <v>0</v>
      </c>
      <c r="E320" s="209">
        <f>'concentrado nocturno'!W70</f>
        <v>0</v>
      </c>
      <c r="F320" s="209">
        <f>'concentrado nocturno'!X70</f>
        <v>0</v>
      </c>
      <c r="G320" s="209">
        <f>'concentrado nocturno'!Y70</f>
        <v>0</v>
      </c>
      <c r="H320" s="209" t="str">
        <f>'concentrado nocturno'!Z70</f>
        <v>S 009</v>
      </c>
      <c r="I320" s="209" t="str">
        <f>'concentrado nocturno'!AA70</f>
        <v>S 009</v>
      </c>
      <c r="J320" s="209" t="str">
        <f>'concentrado nocturno'!AB70</f>
        <v>A228</v>
      </c>
      <c r="K320" s="193"/>
    </row>
    <row r="321" spans="1:11" ht="39.950000000000003" customHeight="1">
      <c r="A321" s="189">
        <f t="shared" si="29"/>
        <v>0</v>
      </c>
      <c r="B321" s="189">
        <f t="shared" si="29"/>
        <v>0</v>
      </c>
      <c r="C321" s="189">
        <f t="shared" si="29"/>
        <v>0</v>
      </c>
      <c r="D321" s="189">
        <f t="shared" si="29"/>
        <v>0</v>
      </c>
      <c r="E321" s="209">
        <f>'concentrado nocturno'!W71</f>
        <v>0</v>
      </c>
      <c r="F321" s="209">
        <f>'concentrado nocturno'!X71</f>
        <v>0</v>
      </c>
      <c r="G321" s="209">
        <f>'concentrado nocturno'!Y71</f>
        <v>0</v>
      </c>
      <c r="H321" s="209">
        <f>'concentrado nocturno'!Z71</f>
        <v>0</v>
      </c>
      <c r="I321" s="209">
        <f>'concentrado nocturno'!AA71</f>
        <v>0</v>
      </c>
      <c r="J321" s="209">
        <f>'concentrado nocturno'!AB71</f>
        <v>0</v>
      </c>
      <c r="K321" s="193"/>
    </row>
    <row r="322" spans="1:11" ht="39.950000000000003" customHeight="1">
      <c r="A322" s="398"/>
      <c r="B322" s="399"/>
      <c r="C322" s="399"/>
      <c r="D322" s="399"/>
      <c r="E322" s="399"/>
      <c r="F322" s="399"/>
      <c r="G322" s="399"/>
      <c r="H322" s="400"/>
      <c r="I322" s="193"/>
      <c r="J322" s="193"/>
      <c r="K322" s="193"/>
    </row>
    <row r="323" spans="1:11" ht="39.950000000000003" customHeight="1">
      <c r="A323" s="388" t="str">
        <f>A299</f>
        <v>REGISTRO DIARIO DE INCIDENCIAS</v>
      </c>
      <c r="B323" s="389"/>
      <c r="C323" s="389"/>
      <c r="D323" s="389"/>
      <c r="E323" s="389"/>
      <c r="F323" s="389"/>
      <c r="G323" s="389"/>
      <c r="H323" s="389"/>
      <c r="I323" s="389"/>
      <c r="J323" s="390"/>
      <c r="K323" s="193"/>
    </row>
    <row r="324" spans="1:11" ht="39.950000000000003" customHeight="1">
      <c r="A324" s="391" t="str">
        <f>A300</f>
        <v>PERIODO ENERO- ABRIL 2026</v>
      </c>
      <c r="B324" s="392"/>
      <c r="C324" s="392"/>
      <c r="D324" s="392"/>
      <c r="E324" s="392"/>
      <c r="F324" s="392"/>
      <c r="G324" s="392"/>
      <c r="H324" s="392"/>
      <c r="I324" s="392"/>
      <c r="J324" s="393"/>
      <c r="K324" s="193"/>
    </row>
    <row r="325" spans="1:11" ht="39.950000000000003" customHeight="1">
      <c r="A325" s="394" t="str">
        <f>A301</f>
        <v>TURNOS: VESP Y NOCTURNO</v>
      </c>
      <c r="B325" s="395"/>
      <c r="C325" s="395"/>
      <c r="D325" s="396">
        <f>FECHAS!D12</f>
        <v>46087</v>
      </c>
      <c r="E325" s="396"/>
      <c r="F325" s="396"/>
      <c r="G325" s="395" t="str">
        <f>G301</f>
        <v xml:space="preserve">SEM 9 LIC </v>
      </c>
      <c r="H325" s="395"/>
      <c r="I325" s="395"/>
      <c r="J325" s="397"/>
      <c r="K325" s="193"/>
    </row>
    <row r="326" spans="1:11" ht="39.950000000000003" customHeight="1">
      <c r="A326" s="190" t="str">
        <f t="shared" ref="A326:J326" si="30">A302</f>
        <v>Aula</v>
      </c>
      <c r="B326" s="190" t="str">
        <f t="shared" si="30"/>
        <v>Gpo.</v>
      </c>
      <c r="C326" s="190" t="str">
        <f t="shared" si="30"/>
        <v>Licenciatura</v>
      </c>
      <c r="D326" s="190" t="str">
        <f t="shared" si="30"/>
        <v>Op</v>
      </c>
      <c r="E326" s="190" t="str">
        <f t="shared" si="30"/>
        <v>16:00</v>
      </c>
      <c r="F326" s="190" t="str">
        <f t="shared" si="30"/>
        <v>17:00</v>
      </c>
      <c r="G326" s="190" t="str">
        <f t="shared" si="30"/>
        <v>18:00</v>
      </c>
      <c r="H326" s="190" t="str">
        <f t="shared" si="30"/>
        <v>19:00</v>
      </c>
      <c r="I326" s="190" t="str">
        <f t="shared" si="30"/>
        <v>20:00</v>
      </c>
      <c r="J326" s="190" t="str">
        <f t="shared" si="30"/>
        <v>21:00</v>
      </c>
      <c r="K326" s="193"/>
    </row>
    <row r="327" spans="1:11" ht="39.950000000000003" customHeight="1">
      <c r="A327" s="164" t="str">
        <f t="shared" ref="A327:D348" si="31">A246</f>
        <v>CC1</v>
      </c>
      <c r="B327" s="164">
        <f t="shared" si="31"/>
        <v>0</v>
      </c>
      <c r="C327" s="164">
        <f t="shared" si="31"/>
        <v>0</v>
      </c>
      <c r="D327" s="164">
        <f t="shared" si="31"/>
        <v>0</v>
      </c>
      <c r="E327" s="212">
        <f>'concentrado nocturno'!AC6</f>
        <v>0</v>
      </c>
      <c r="F327" s="212">
        <f>'concentrado nocturno'!AD6</f>
        <v>0</v>
      </c>
      <c r="G327" s="212">
        <f>'concentrado nocturno'!AE6</f>
        <v>0</v>
      </c>
      <c r="H327" s="212">
        <f>'concentrado nocturno'!AF6</f>
        <v>1228</v>
      </c>
      <c r="I327" s="212">
        <f>'concentrado nocturno'!AG6</f>
        <v>1228</v>
      </c>
      <c r="J327" s="212">
        <f>'concentrado nocturno'!AH6</f>
        <v>0</v>
      </c>
      <c r="K327" s="193"/>
    </row>
    <row r="328" spans="1:11" ht="39.950000000000003" customHeight="1">
      <c r="A328" s="164" t="str">
        <f t="shared" si="31"/>
        <v>CC2</v>
      </c>
      <c r="B328" s="164">
        <f t="shared" si="31"/>
        <v>0</v>
      </c>
      <c r="C328" s="164">
        <f t="shared" si="31"/>
        <v>0</v>
      </c>
      <c r="D328" s="164">
        <f t="shared" si="31"/>
        <v>0</v>
      </c>
      <c r="E328" s="212">
        <f>'concentrado nocturno'!AC7</f>
        <v>0</v>
      </c>
      <c r="F328" s="212" t="str">
        <f>'concentrado nocturno'!AD7</f>
        <v>A97</v>
      </c>
      <c r="G328" s="212" t="str">
        <f>'concentrado nocturno'!AE7</f>
        <v>A238</v>
      </c>
      <c r="H328" s="212" t="str">
        <f>'concentrado nocturno'!AF7</f>
        <v>A161</v>
      </c>
      <c r="I328" s="212">
        <f>'concentrado nocturno'!AG7</f>
        <v>0</v>
      </c>
      <c r="J328" s="212">
        <f>'concentrado nocturno'!AH7</f>
        <v>0</v>
      </c>
      <c r="K328" s="193"/>
    </row>
    <row r="329" spans="1:11" ht="39.950000000000003" customHeight="1">
      <c r="A329" s="164" t="str">
        <f t="shared" si="31"/>
        <v>CC3</v>
      </c>
      <c r="B329" s="164">
        <f t="shared" si="31"/>
        <v>0</v>
      </c>
      <c r="C329" s="164">
        <f t="shared" si="31"/>
        <v>0</v>
      </c>
      <c r="D329" s="164">
        <f t="shared" si="31"/>
        <v>0</v>
      </c>
      <c r="E329" s="212">
        <f>'concentrado nocturno'!AC8</f>
        <v>1228</v>
      </c>
      <c r="F329" s="212">
        <f>'concentrado nocturno'!AD8</f>
        <v>0</v>
      </c>
      <c r="G329" s="212">
        <f>'concentrado nocturno'!AE8</f>
        <v>0</v>
      </c>
      <c r="H329" s="212">
        <f>'concentrado nocturno'!AF8</f>
        <v>0</v>
      </c>
      <c r="I329" s="212">
        <f>'concentrado nocturno'!AG8</f>
        <v>0</v>
      </c>
      <c r="J329" s="212">
        <f>'concentrado nocturno'!AH8</f>
        <v>0</v>
      </c>
      <c r="K329" s="193"/>
    </row>
    <row r="330" spans="1:11" ht="39.950000000000003" customHeight="1">
      <c r="A330" s="164" t="str">
        <f t="shared" si="31"/>
        <v>CC4</v>
      </c>
      <c r="B330" s="164">
        <f t="shared" si="31"/>
        <v>0</v>
      </c>
      <c r="C330" s="164">
        <f t="shared" si="31"/>
        <v>0</v>
      </c>
      <c r="D330" s="164">
        <f t="shared" si="31"/>
        <v>0</v>
      </c>
      <c r="E330" s="212" t="str">
        <f>'concentrado nocturno'!AC9</f>
        <v>A161</v>
      </c>
      <c r="F330" s="212" t="str">
        <f>'concentrado nocturno'!AD9</f>
        <v>A161</v>
      </c>
      <c r="G330" s="212">
        <f>'concentrado nocturno'!AE9</f>
        <v>0</v>
      </c>
      <c r="H330" s="212">
        <f>'concentrado nocturno'!AF9</f>
        <v>2448</v>
      </c>
      <c r="I330" s="212">
        <f>'concentrado nocturno'!AG9</f>
        <v>2448</v>
      </c>
      <c r="J330" s="212">
        <f>'concentrado nocturno'!AH9</f>
        <v>0</v>
      </c>
      <c r="K330" s="193"/>
    </row>
    <row r="331" spans="1:11" ht="39.950000000000003" customHeight="1">
      <c r="A331" s="164" t="str">
        <f t="shared" si="31"/>
        <v>CC5</v>
      </c>
      <c r="B331" s="164">
        <f t="shared" si="31"/>
        <v>0</v>
      </c>
      <c r="C331" s="164">
        <f t="shared" si="31"/>
        <v>0</v>
      </c>
      <c r="D331" s="164">
        <f t="shared" si="31"/>
        <v>0</v>
      </c>
      <c r="E331" s="212">
        <f>'concentrado nocturno'!AC10</f>
        <v>0</v>
      </c>
      <c r="F331" s="212">
        <f>'concentrado nocturno'!AD10</f>
        <v>0</v>
      </c>
      <c r="G331" s="212">
        <f>'concentrado nocturno'!AE10</f>
        <v>634</v>
      </c>
      <c r="H331" s="212" t="str">
        <f>'concentrado nocturno'!AF10</f>
        <v>A96</v>
      </c>
      <c r="I331" s="212">
        <f>'concentrado nocturno'!AG10</f>
        <v>0</v>
      </c>
      <c r="J331" s="212">
        <f>'concentrado nocturno'!AH10</f>
        <v>0</v>
      </c>
      <c r="K331" s="193"/>
    </row>
    <row r="332" spans="1:11" ht="39.950000000000003" customHeight="1">
      <c r="A332" s="164">
        <f t="shared" si="31"/>
        <v>1</v>
      </c>
      <c r="B332" s="164" t="str">
        <f t="shared" si="31"/>
        <v>421-13/521-14</v>
      </c>
      <c r="C332" s="164" t="str">
        <f t="shared" si="31"/>
        <v>Psicologia</v>
      </c>
      <c r="D332" s="164" t="str">
        <f t="shared" si="31"/>
        <v>11DV, 8AN, 5BN</v>
      </c>
      <c r="E332" s="212">
        <f>'concentrado nocturno'!AC11</f>
        <v>2396</v>
      </c>
      <c r="F332" s="212" t="str">
        <f>'concentrado nocturno'!AD11</f>
        <v>A234</v>
      </c>
      <c r="G332" s="212" t="str">
        <f>'concentrado nocturno'!AE11</f>
        <v>A234</v>
      </c>
      <c r="H332" s="212">
        <f>'concentrado nocturno'!AF11</f>
        <v>2223</v>
      </c>
      <c r="I332" s="212">
        <f>'concentrado nocturno'!AG11</f>
        <v>2223</v>
      </c>
      <c r="J332" s="212">
        <f>'concentrado nocturno'!AH11</f>
        <v>1567</v>
      </c>
      <c r="K332" s="193"/>
    </row>
    <row r="333" spans="1:11" ht="39.950000000000003" customHeight="1">
      <c r="A333" s="164">
        <f t="shared" si="31"/>
        <v>2</v>
      </c>
      <c r="B333" s="164" t="str">
        <f t="shared" si="31"/>
        <v>721-8-821-9</v>
      </c>
      <c r="C333" s="164" t="str">
        <f t="shared" si="31"/>
        <v>Psicologia</v>
      </c>
      <c r="D333" s="164">
        <f t="shared" si="31"/>
        <v>0</v>
      </c>
      <c r="E333" s="212">
        <f>'concentrado nocturno'!AC12</f>
        <v>0</v>
      </c>
      <c r="F333" s="212">
        <f>'concentrado nocturno'!AD12</f>
        <v>2206</v>
      </c>
      <c r="G333" s="212">
        <f>'concentrado nocturno'!AE12</f>
        <v>2206</v>
      </c>
      <c r="H333" s="212" t="str">
        <f>'concentrado nocturno'!AF12</f>
        <v>A121</v>
      </c>
      <c r="I333" s="212">
        <f>'concentrado nocturno'!AG12</f>
        <v>2396</v>
      </c>
      <c r="J333" s="212">
        <f>'concentrado nocturno'!AH12</f>
        <v>0</v>
      </c>
      <c r="K333" s="193"/>
    </row>
    <row r="334" spans="1:11" ht="39.950000000000003" customHeight="1">
      <c r="A334" s="164">
        <f t="shared" si="31"/>
        <v>2</v>
      </c>
      <c r="B334" s="164" t="str">
        <f t="shared" si="31"/>
        <v>421-13/521-14</v>
      </c>
      <c r="C334" s="164" t="str">
        <f t="shared" si="31"/>
        <v>Compu</v>
      </c>
      <c r="D334" s="164">
        <f t="shared" si="31"/>
        <v>0</v>
      </c>
      <c r="E334" s="212" t="str">
        <f>'concentrado nocturno'!AC13</f>
        <v>A161 CC</v>
      </c>
      <c r="F334" s="212" t="str">
        <f>'concentrado nocturno'!AD13</f>
        <v>A161 CC</v>
      </c>
      <c r="G334" s="212" t="str">
        <f>'concentrado nocturno'!AE13</f>
        <v>1567 S102</v>
      </c>
      <c r="H334" s="212" t="str">
        <f>'concentrado nocturno'!AF13</f>
        <v>CCIG</v>
      </c>
      <c r="I334" s="212" t="str">
        <f>'concentrado nocturno'!AG13</f>
        <v>CCIG</v>
      </c>
      <c r="J334" s="212">
        <f>'concentrado nocturno'!AH13</f>
        <v>0</v>
      </c>
      <c r="K334" s="193"/>
    </row>
    <row r="335" spans="1:11" ht="39.950000000000003" customHeight="1">
      <c r="A335" s="164">
        <f t="shared" si="31"/>
        <v>3</v>
      </c>
      <c r="B335" s="164" t="str">
        <f t="shared" si="31"/>
        <v>221-14</v>
      </c>
      <c r="C335" s="164" t="str">
        <f t="shared" si="31"/>
        <v>Psicologia</v>
      </c>
      <c r="D335" s="164" t="str">
        <f t="shared" si="31"/>
        <v>8CN</v>
      </c>
      <c r="E335" s="212">
        <f>'concentrado nocturno'!AC14</f>
        <v>1602</v>
      </c>
      <c r="F335" s="212" t="str">
        <f>'concentrado nocturno'!AD14</f>
        <v>1567 S 315</v>
      </c>
      <c r="G335" s="212">
        <f>'concentrado nocturno'!AE14</f>
        <v>2396</v>
      </c>
      <c r="H335" s="212">
        <f>'concentrado nocturno'!AF14</f>
        <v>0</v>
      </c>
      <c r="I335" s="212">
        <f>'concentrado nocturno'!AG14</f>
        <v>0</v>
      </c>
      <c r="J335" s="212">
        <f>'concentrado nocturno'!AH14</f>
        <v>0</v>
      </c>
      <c r="K335" s="193"/>
    </row>
    <row r="336" spans="1:11" ht="39.950000000000003" customHeight="1">
      <c r="A336" s="164">
        <f t="shared" si="31"/>
        <v>3</v>
      </c>
      <c r="B336" s="164" t="str">
        <f t="shared" si="31"/>
        <v>1031-13/1131-14</v>
      </c>
      <c r="C336" s="164" t="str">
        <f t="shared" si="31"/>
        <v>Psicologia</v>
      </c>
      <c r="D336" s="164">
        <f t="shared" si="31"/>
        <v>0</v>
      </c>
      <c r="E336" s="212">
        <f>'concentrado nocturno'!AC15</f>
        <v>0</v>
      </c>
      <c r="F336" s="212">
        <f>'concentrado nocturno'!AD15</f>
        <v>0</v>
      </c>
      <c r="G336" s="212">
        <f>'concentrado nocturno'!AE15</f>
        <v>0</v>
      </c>
      <c r="H336" s="212">
        <f>'concentrado nocturno'!AF15</f>
        <v>0</v>
      </c>
      <c r="I336" s="212" t="str">
        <f>'concentrado nocturno'!AG15</f>
        <v>A121</v>
      </c>
      <c r="J336" s="212">
        <f>'concentrado nocturno'!AH15</f>
        <v>0</v>
      </c>
      <c r="K336" s="193"/>
    </row>
    <row r="337" spans="1:11" ht="39.950000000000003" customHeight="1">
      <c r="A337" s="164">
        <f t="shared" si="31"/>
        <v>4</v>
      </c>
      <c r="B337" s="164" t="str">
        <f t="shared" si="31"/>
        <v>531-14</v>
      </c>
      <c r="C337" s="164" t="str">
        <f t="shared" si="31"/>
        <v>FINANZAS</v>
      </c>
      <c r="D337" s="164">
        <f t="shared" si="31"/>
        <v>0</v>
      </c>
      <c r="E337" s="212">
        <f>'concentrado nocturno'!AC16</f>
        <v>0</v>
      </c>
      <c r="F337" s="212">
        <f>'concentrado nocturno'!AD16</f>
        <v>0</v>
      </c>
      <c r="G337" s="212">
        <f>'concentrado nocturno'!AE16</f>
        <v>0</v>
      </c>
      <c r="H337" s="212" t="str">
        <f>'concentrado nocturno'!AF16</f>
        <v>A166</v>
      </c>
      <c r="I337" s="212" t="str">
        <f>'concentrado nocturno'!AG16</f>
        <v>A166</v>
      </c>
      <c r="J337" s="212" t="str">
        <f>'concentrado nocturno'!AH16</f>
        <v>A97</v>
      </c>
      <c r="K337" s="193"/>
    </row>
    <row r="338" spans="1:11" ht="39.950000000000003" customHeight="1">
      <c r="A338" s="164">
        <f t="shared" si="31"/>
        <v>4</v>
      </c>
      <c r="B338" s="164" t="str">
        <f t="shared" si="31"/>
        <v>821-14</v>
      </c>
      <c r="C338" s="164" t="str">
        <f t="shared" si="31"/>
        <v>Psicologia</v>
      </c>
      <c r="D338" s="164">
        <f t="shared" si="31"/>
        <v>0</v>
      </c>
      <c r="E338" s="212">
        <f>'concentrado nocturno'!AC17</f>
        <v>2517</v>
      </c>
      <c r="F338" s="212">
        <f>'concentrado nocturno'!AD17</f>
        <v>1846</v>
      </c>
      <c r="G338" s="212">
        <f>'concentrado nocturno'!AE17</f>
        <v>1846</v>
      </c>
      <c r="H338" s="212">
        <f>'concentrado nocturno'!AF17</f>
        <v>0</v>
      </c>
      <c r="I338" s="212">
        <f>'concentrado nocturno'!AG17</f>
        <v>0</v>
      </c>
      <c r="J338" s="212">
        <f>'concentrado nocturno'!AH17</f>
        <v>0</v>
      </c>
      <c r="K338" s="193"/>
    </row>
    <row r="339" spans="1:11" ht="39.950000000000003" customHeight="1">
      <c r="A339" s="164">
        <f t="shared" si="31"/>
        <v>5</v>
      </c>
      <c r="B339" s="164" t="str">
        <f t="shared" si="31"/>
        <v>721-8/821-9</v>
      </c>
      <c r="C339" s="164" t="str">
        <f t="shared" si="31"/>
        <v>Civil</v>
      </c>
      <c r="D339" s="164" t="str">
        <f t="shared" si="31"/>
        <v>2BV</v>
      </c>
      <c r="E339" s="212">
        <f>'concentrado nocturno'!AC18</f>
        <v>1887</v>
      </c>
      <c r="F339" s="212">
        <f>'concentrado nocturno'!AD18</f>
        <v>1887</v>
      </c>
      <c r="G339" s="212">
        <f>'concentrado nocturno'!AE18</f>
        <v>1152</v>
      </c>
      <c r="H339" s="212">
        <f>'concentrado nocturno'!AF18</f>
        <v>1384</v>
      </c>
      <c r="I339" s="212">
        <f>'concentrado nocturno'!AG18</f>
        <v>1384</v>
      </c>
      <c r="J339" s="212">
        <f>'concentrado nocturno'!AH18</f>
        <v>0</v>
      </c>
      <c r="K339" s="193"/>
    </row>
    <row r="340" spans="1:11" ht="39.950000000000003" customHeight="1">
      <c r="A340" s="164">
        <f t="shared" si="31"/>
        <v>7</v>
      </c>
      <c r="B340" s="164" t="str">
        <f t="shared" si="31"/>
        <v>721-8/821-9</v>
      </c>
      <c r="C340" s="164" t="str">
        <f t="shared" si="31"/>
        <v>FINANZAS</v>
      </c>
      <c r="D340" s="164">
        <f t="shared" si="31"/>
        <v>0</v>
      </c>
      <c r="E340" s="212" t="str">
        <f>'concentrado nocturno'!AC19</f>
        <v>A99</v>
      </c>
      <c r="F340" s="212" t="str">
        <f>'concentrado nocturno'!AD19</f>
        <v>A99</v>
      </c>
      <c r="G340" s="212" t="str">
        <f>'concentrado nocturno'!AE19</f>
        <v>A238 CC2</v>
      </c>
      <c r="H340" s="212" t="str">
        <f>'concentrado nocturno'!AF19</f>
        <v>A96 CC</v>
      </c>
      <c r="I340" s="212" t="str">
        <f>'concentrado nocturno'!AG19</f>
        <v>2448 CC4</v>
      </c>
      <c r="J340" s="212">
        <f>'concentrado nocturno'!AH19</f>
        <v>0</v>
      </c>
      <c r="K340" s="193"/>
    </row>
    <row r="341" spans="1:11" ht="39.950000000000003" customHeight="1">
      <c r="A341" s="164">
        <f t="shared" si="31"/>
        <v>8</v>
      </c>
      <c r="B341" s="164" t="str">
        <f t="shared" si="31"/>
        <v>821-9</v>
      </c>
      <c r="C341" s="164" t="str">
        <f t="shared" si="31"/>
        <v>Negocios</v>
      </c>
      <c r="D341" s="164" t="str">
        <f t="shared" si="31"/>
        <v>2AV</v>
      </c>
      <c r="E341" s="212" t="str">
        <f>'concentrado nocturno'!AC20</f>
        <v>A237</v>
      </c>
      <c r="F341" s="212" t="str">
        <f>'concentrado nocturno'!AD20</f>
        <v>A237</v>
      </c>
      <c r="G341" s="212" t="str">
        <f>'concentrado nocturno'!AE20</f>
        <v>A55</v>
      </c>
      <c r="H341" s="212">
        <f>'concentrado nocturno'!AF20</f>
        <v>98</v>
      </c>
      <c r="I341" s="212">
        <f>'concentrado nocturno'!AG20</f>
        <v>98</v>
      </c>
      <c r="J341" s="212">
        <f>'concentrado nocturno'!AH20</f>
        <v>0</v>
      </c>
      <c r="K341" s="193"/>
    </row>
    <row r="342" spans="1:11" ht="39.950000000000003" customHeight="1">
      <c r="A342" s="164">
        <f t="shared" si="31"/>
        <v>9</v>
      </c>
      <c r="B342" s="164" t="str">
        <f t="shared" si="31"/>
        <v>221-9</v>
      </c>
      <c r="C342" s="164" t="str">
        <f t="shared" si="31"/>
        <v>FINANZAS</v>
      </c>
      <c r="D342" s="164" t="str">
        <f t="shared" si="31"/>
        <v>5DV</v>
      </c>
      <c r="E342" s="212">
        <f>'concentrado nocturno'!AC21</f>
        <v>1990</v>
      </c>
      <c r="F342" s="212">
        <f>'concentrado nocturno'!AD21</f>
        <v>2312</v>
      </c>
      <c r="G342" s="212" t="str">
        <f>'concentrado nocturno'!AE21</f>
        <v>A97</v>
      </c>
      <c r="H342" s="212" t="str">
        <f>'concentrado nocturno'!AF21</f>
        <v>A99</v>
      </c>
      <c r="I342" s="212" t="str">
        <f>'concentrado nocturno'!AG21</f>
        <v>2163 S 101</v>
      </c>
      <c r="J342" s="212">
        <f>'concentrado nocturno'!AH21</f>
        <v>2163</v>
      </c>
      <c r="K342" s="193"/>
    </row>
    <row r="343" spans="1:11" ht="39.950000000000003" customHeight="1">
      <c r="A343" s="164">
        <f t="shared" si="31"/>
        <v>101</v>
      </c>
      <c r="B343" s="164" t="str">
        <f t="shared" si="31"/>
        <v>221-9</v>
      </c>
      <c r="C343" s="164" t="str">
        <f t="shared" si="31"/>
        <v>Civil</v>
      </c>
      <c r="D343" s="164" t="str">
        <f t="shared" si="31"/>
        <v>2CV</v>
      </c>
      <c r="E343" s="212" t="str">
        <f>'concentrado nocturno'!AC22</f>
        <v>A200</v>
      </c>
      <c r="F343" s="212" t="str">
        <f>'concentrado nocturno'!AD22</f>
        <v>A200</v>
      </c>
      <c r="G343" s="212" t="str">
        <f>'concentrado nocturno'!AE22</f>
        <v>634 CC5</v>
      </c>
      <c r="H343" s="212" t="str">
        <f>'concentrado nocturno'!AF22</f>
        <v>A200</v>
      </c>
      <c r="I343" s="212">
        <f>'concentrado nocturno'!AG22</f>
        <v>2163</v>
      </c>
      <c r="J343" s="212">
        <f>'concentrado nocturno'!AH22</f>
        <v>0</v>
      </c>
      <c r="K343" s="193"/>
    </row>
    <row r="344" spans="1:11" ht="39.950000000000003" customHeight="1">
      <c r="A344" s="164">
        <f t="shared" si="31"/>
        <v>102</v>
      </c>
      <c r="B344" s="164" t="str">
        <f t="shared" si="31"/>
        <v>531-14</v>
      </c>
      <c r="C344" s="164" t="str">
        <f t="shared" si="31"/>
        <v>Civil</v>
      </c>
      <c r="D344" s="164">
        <f t="shared" si="31"/>
        <v>0</v>
      </c>
      <c r="E344" s="212">
        <f>'concentrado nocturno'!AC23</f>
        <v>0</v>
      </c>
      <c r="F344" s="212">
        <f>'concentrado nocturno'!AD23</f>
        <v>0</v>
      </c>
      <c r="G344" s="212">
        <f>'concentrado nocturno'!AE23</f>
        <v>0</v>
      </c>
      <c r="H344" s="212" t="str">
        <f>'concentrado nocturno'!AF23</f>
        <v>A43</v>
      </c>
      <c r="I344" s="212" t="str">
        <f>'concentrado nocturno'!AG23</f>
        <v>A43</v>
      </c>
      <c r="J344" s="212" t="str">
        <f>'concentrado nocturno'!AH23</f>
        <v>1567 S 001</v>
      </c>
      <c r="K344" s="193"/>
    </row>
    <row r="345" spans="1:11" ht="39.950000000000003" customHeight="1">
      <c r="A345" s="164">
        <f t="shared" si="31"/>
        <v>102</v>
      </c>
      <c r="B345" s="164" t="str">
        <f t="shared" si="31"/>
        <v>521-14</v>
      </c>
      <c r="C345" s="164" t="str">
        <f t="shared" si="31"/>
        <v>Civil</v>
      </c>
      <c r="D345" s="164" t="str">
        <f t="shared" si="31"/>
        <v>8BV, 5CN</v>
      </c>
      <c r="E345" s="212">
        <f>'concentrado nocturno'!AC24</f>
        <v>0</v>
      </c>
      <c r="F345" s="212">
        <f>'concentrado nocturno'!AD24</f>
        <v>0</v>
      </c>
      <c r="G345" s="212">
        <f>'concentrado nocturno'!AE24</f>
        <v>1567</v>
      </c>
      <c r="H345" s="212">
        <f>'concentrado nocturno'!AF24</f>
        <v>0</v>
      </c>
      <c r="I345" s="212">
        <f>'concentrado nocturno'!AG24</f>
        <v>0</v>
      </c>
      <c r="J345" s="212">
        <f>'concentrado nocturno'!AH24</f>
        <v>0</v>
      </c>
      <c r="K345" s="193"/>
    </row>
    <row r="346" spans="1:11" ht="39.950000000000003" customHeight="1">
      <c r="A346" s="164">
        <f t="shared" si="31"/>
        <v>103</v>
      </c>
      <c r="B346" s="164" t="str">
        <f t="shared" si="31"/>
        <v>821-14</v>
      </c>
      <c r="C346" s="164" t="str">
        <f t="shared" si="31"/>
        <v>Civil</v>
      </c>
      <c r="D346" s="164" t="str">
        <f t="shared" si="31"/>
        <v>5AV, 8BN</v>
      </c>
      <c r="E346" s="212">
        <f>'concentrado nocturno'!AC25</f>
        <v>1384</v>
      </c>
      <c r="F346" s="212">
        <f>'concentrado nocturno'!AD25</f>
        <v>2476</v>
      </c>
      <c r="G346" s="212">
        <f>'concentrado nocturno'!AE25</f>
        <v>2476</v>
      </c>
      <c r="H346" s="212">
        <f>'concentrado nocturno'!AF25</f>
        <v>0</v>
      </c>
      <c r="I346" s="212">
        <f>'concentrado nocturno'!AG25</f>
        <v>0</v>
      </c>
      <c r="J346" s="212">
        <f>'concentrado nocturno'!AH25</f>
        <v>0</v>
      </c>
      <c r="K346" s="193"/>
    </row>
    <row r="347" spans="1:11" ht="39.950000000000003" customHeight="1">
      <c r="A347" s="164">
        <f t="shared" si="31"/>
        <v>103</v>
      </c>
      <c r="B347" s="164" t="str">
        <f t="shared" si="31"/>
        <v>1131-14</v>
      </c>
      <c r="C347" s="164" t="str">
        <f t="shared" si="31"/>
        <v>Civil</v>
      </c>
      <c r="D347" s="164">
        <f t="shared" si="31"/>
        <v>0</v>
      </c>
      <c r="E347" s="212">
        <f>'concentrado nocturno'!AC26</f>
        <v>0</v>
      </c>
      <c r="F347" s="212">
        <f>'concentrado nocturno'!AD26</f>
        <v>0</v>
      </c>
      <c r="G347" s="212">
        <f>'concentrado nocturno'!AE26</f>
        <v>0</v>
      </c>
      <c r="H347" s="212">
        <f>'concentrado nocturno'!AF26</f>
        <v>2306</v>
      </c>
      <c r="I347" s="212" t="str">
        <f>'concentrado nocturno'!AG26</f>
        <v>A200</v>
      </c>
      <c r="J347" s="212" t="str">
        <f>'concentrado nocturno'!AH26</f>
        <v>2163 S 101</v>
      </c>
      <c r="K347" s="193"/>
    </row>
    <row r="348" spans="1:11" ht="39.950000000000003" customHeight="1">
      <c r="A348" s="164">
        <f t="shared" si="31"/>
        <v>104</v>
      </c>
      <c r="B348" s="164" t="str">
        <f t="shared" si="31"/>
        <v>521-9</v>
      </c>
      <c r="C348" s="164" t="str">
        <f t="shared" si="31"/>
        <v>Negocios</v>
      </c>
      <c r="D348" s="164" t="str">
        <f t="shared" si="31"/>
        <v>8DV</v>
      </c>
      <c r="E348" s="212" t="str">
        <f>'concentrado nocturno'!AC27</f>
        <v>A191</v>
      </c>
      <c r="F348" s="212">
        <f>'concentrado nocturno'!AD27</f>
        <v>0</v>
      </c>
      <c r="G348" s="212">
        <f>'concentrado nocturno'!AE27</f>
        <v>0</v>
      </c>
      <c r="H348" s="212" t="str">
        <f>'concentrado nocturno'!AF27</f>
        <v>A55</v>
      </c>
      <c r="I348" s="212">
        <f>'concentrado nocturno'!AG27</f>
        <v>2472</v>
      </c>
      <c r="J348" s="212">
        <f>'concentrado nocturno'!AH27</f>
        <v>0</v>
      </c>
      <c r="K348" s="193"/>
    </row>
    <row r="349" spans="1:11" ht="39.950000000000003" customHeight="1">
      <c r="A349" s="385"/>
      <c r="B349" s="386"/>
      <c r="C349" s="386"/>
      <c r="D349" s="386"/>
      <c r="E349" s="386"/>
      <c r="F349" s="386"/>
      <c r="G349" s="386"/>
      <c r="H349" s="387"/>
      <c r="I349" s="193"/>
      <c r="J349" s="193"/>
      <c r="K349" s="193"/>
    </row>
    <row r="350" spans="1:11" ht="39.950000000000003" customHeight="1">
      <c r="A350" s="388" t="str">
        <f>A323</f>
        <v>REGISTRO DIARIO DE INCIDENCIAS</v>
      </c>
      <c r="B350" s="389"/>
      <c r="C350" s="389"/>
      <c r="D350" s="389"/>
      <c r="E350" s="389"/>
      <c r="F350" s="389"/>
      <c r="G350" s="389"/>
      <c r="H350" s="389"/>
      <c r="I350" s="389"/>
      <c r="J350" s="390"/>
      <c r="K350" s="193"/>
    </row>
    <row r="351" spans="1:11" ht="39.950000000000003" customHeight="1">
      <c r="A351" s="391" t="str">
        <f>A324</f>
        <v>PERIODO ENERO- ABRIL 2026</v>
      </c>
      <c r="B351" s="392"/>
      <c r="C351" s="392"/>
      <c r="D351" s="392"/>
      <c r="E351" s="392"/>
      <c r="F351" s="392"/>
      <c r="G351" s="392"/>
      <c r="H351" s="392"/>
      <c r="I351" s="392"/>
      <c r="J351" s="393"/>
      <c r="K351" s="193"/>
    </row>
    <row r="352" spans="1:11" ht="39.950000000000003" customHeight="1">
      <c r="A352" s="394" t="str">
        <f>A325</f>
        <v>TURNOS: VESP Y NOCTURNO</v>
      </c>
      <c r="B352" s="395"/>
      <c r="C352" s="395"/>
      <c r="D352" s="396">
        <f>D325</f>
        <v>46087</v>
      </c>
      <c r="E352" s="396"/>
      <c r="F352" s="396"/>
      <c r="G352" s="395" t="str">
        <f>G325</f>
        <v xml:space="preserve">SEM 9 LIC </v>
      </c>
      <c r="H352" s="395"/>
      <c r="I352" s="395"/>
      <c r="J352" s="397"/>
      <c r="K352" s="193"/>
    </row>
    <row r="353" spans="1:11" ht="39.950000000000003" customHeight="1">
      <c r="A353" s="190" t="str">
        <f>A326</f>
        <v>Aula</v>
      </c>
      <c r="B353" s="190" t="str">
        <f t="shared" ref="B353:J353" si="32">B326</f>
        <v>Gpo.</v>
      </c>
      <c r="C353" s="190" t="str">
        <f t="shared" si="32"/>
        <v>Licenciatura</v>
      </c>
      <c r="D353" s="190" t="str">
        <f t="shared" si="32"/>
        <v>Op</v>
      </c>
      <c r="E353" s="190" t="str">
        <f t="shared" si="32"/>
        <v>16:00</v>
      </c>
      <c r="F353" s="190" t="str">
        <f t="shared" si="32"/>
        <v>17:00</v>
      </c>
      <c r="G353" s="190" t="str">
        <f t="shared" si="32"/>
        <v>18:00</v>
      </c>
      <c r="H353" s="190" t="str">
        <f t="shared" si="32"/>
        <v>19:00</v>
      </c>
      <c r="I353" s="190" t="str">
        <f t="shared" si="32"/>
        <v>20:00</v>
      </c>
      <c r="J353" s="190" t="str">
        <f t="shared" si="32"/>
        <v>21:00</v>
      </c>
      <c r="K353" s="193"/>
    </row>
    <row r="354" spans="1:11" ht="39.950000000000003" customHeight="1">
      <c r="A354" s="189">
        <f t="shared" ref="A354:D355" si="33">A273</f>
        <v>201</v>
      </c>
      <c r="B354" s="189" t="str">
        <f t="shared" si="33"/>
        <v>1431-14</v>
      </c>
      <c r="C354" s="189" t="str">
        <f t="shared" si="33"/>
        <v>Civil</v>
      </c>
      <c r="D354" s="189" t="str">
        <f t="shared" si="33"/>
        <v>8AV, 5BV</v>
      </c>
      <c r="E354" s="189">
        <f>'concentrado nocturno'!AC28</f>
        <v>0</v>
      </c>
      <c r="F354" s="189" t="str">
        <f>'concentrado nocturno'!AD28</f>
        <v>A78</v>
      </c>
      <c r="G354" s="189" t="str">
        <f>'concentrado nocturno'!AE28</f>
        <v>A78</v>
      </c>
      <c r="H354" s="189">
        <f>'concentrado nocturno'!AF28</f>
        <v>1152</v>
      </c>
      <c r="I354" s="189">
        <f>'concentrado nocturno'!AG28</f>
        <v>990</v>
      </c>
      <c r="J354" s="189">
        <f>'concentrado nocturno'!AH28</f>
        <v>990</v>
      </c>
      <c r="K354" s="193"/>
    </row>
    <row r="355" spans="1:11" ht="39.950000000000003" customHeight="1" thickTop="1" thickBot="1">
      <c r="A355" s="189">
        <f t="shared" si="33"/>
        <v>202</v>
      </c>
      <c r="B355" s="189" t="str">
        <f t="shared" si="33"/>
        <v>831-14</v>
      </c>
      <c r="C355" s="189" t="str">
        <f t="shared" si="33"/>
        <v>Psicologia</v>
      </c>
      <c r="D355" s="189">
        <f t="shared" si="33"/>
        <v>0</v>
      </c>
      <c r="E355" s="189">
        <f>'concentrado nocturno'!AC29</f>
        <v>0</v>
      </c>
      <c r="F355" s="189">
        <f>'concentrado nocturno'!AD29</f>
        <v>0</v>
      </c>
      <c r="G355" s="189">
        <f>'concentrado nocturno'!AE29</f>
        <v>0</v>
      </c>
      <c r="H355" s="189">
        <f>'concentrado nocturno'!AF29</f>
        <v>0</v>
      </c>
      <c r="I355" s="189">
        <f>'concentrado nocturno'!AG29</f>
        <v>0</v>
      </c>
      <c r="J355" s="189">
        <f>'concentrado nocturno'!AH29</f>
        <v>2206</v>
      </c>
      <c r="K355" s="193"/>
    </row>
    <row r="356" spans="1:11" ht="39.950000000000003" customHeight="1" thickTop="1" thickBot="1">
      <c r="A356" s="189">
        <f t="shared" ref="A356:D366" si="34">A275</f>
        <v>204</v>
      </c>
      <c r="B356" s="189" t="str">
        <f t="shared" si="34"/>
        <v>731-13/831-14</v>
      </c>
      <c r="C356" s="189" t="str">
        <f t="shared" si="34"/>
        <v>Electro</v>
      </c>
      <c r="D356" s="189">
        <f t="shared" si="34"/>
        <v>0</v>
      </c>
      <c r="E356" s="189">
        <f>'concentrado nocturno'!AC31</f>
        <v>0</v>
      </c>
      <c r="F356" s="189">
        <f>'concentrado nocturno'!AD31</f>
        <v>0</v>
      </c>
      <c r="G356" s="189">
        <f>'concentrado nocturno'!AE31</f>
        <v>2310</v>
      </c>
      <c r="H356" s="189">
        <f>'concentrado nocturno'!AF31</f>
        <v>0</v>
      </c>
      <c r="I356" s="189">
        <f>'concentrado nocturno'!AG31</f>
        <v>0</v>
      </c>
      <c r="J356" s="189" t="str">
        <f>'concentrado nocturno'!AH31</f>
        <v>A79</v>
      </c>
      <c r="K356" s="193"/>
    </row>
    <row r="357" spans="1:11" ht="39.950000000000003" customHeight="1" thickTop="1" thickBot="1">
      <c r="A357" s="189">
        <f t="shared" si="34"/>
        <v>205</v>
      </c>
      <c r="B357" s="189" t="str">
        <f t="shared" si="34"/>
        <v>1121-14</v>
      </c>
      <c r="C357" s="189" t="str">
        <f t="shared" si="34"/>
        <v>Psicologia</v>
      </c>
      <c r="D357" s="189" t="str">
        <f t="shared" si="34"/>
        <v>8CV, 2BN</v>
      </c>
      <c r="E357" s="189" t="str">
        <f>'concentrado nocturno'!AC32</f>
        <v>A263</v>
      </c>
      <c r="F357" s="189">
        <f>'concentrado nocturno'!AD32</f>
        <v>2396</v>
      </c>
      <c r="G357" s="189" t="str">
        <f>'concentrado nocturno'!AE32</f>
        <v>A263</v>
      </c>
      <c r="H357" s="189">
        <f>'concentrado nocturno'!AF32</f>
        <v>0</v>
      </c>
      <c r="I357" s="189">
        <f>'concentrado nocturno'!AG32</f>
        <v>0</v>
      </c>
      <c r="J357" s="189">
        <f>'concentrado nocturno'!AH32</f>
        <v>0</v>
      </c>
      <c r="K357" s="193"/>
    </row>
    <row r="358" spans="1:11" ht="39.950000000000003" hidden="1" customHeight="1">
      <c r="A358" s="189">
        <f t="shared" si="34"/>
        <v>205</v>
      </c>
      <c r="B358" s="189">
        <f t="shared" si="34"/>
        <v>0</v>
      </c>
      <c r="C358" s="189">
        <f t="shared" si="34"/>
        <v>0</v>
      </c>
      <c r="D358" s="189">
        <f t="shared" si="34"/>
        <v>0</v>
      </c>
      <c r="E358" s="189">
        <f>'concentrado nocturno'!AC33</f>
        <v>0</v>
      </c>
      <c r="F358" s="189">
        <f>'concentrado nocturno'!AD33</f>
        <v>0</v>
      </c>
      <c r="G358" s="189">
        <f>'concentrado nocturno'!AE33</f>
        <v>0</v>
      </c>
      <c r="H358" s="189">
        <f>'concentrado nocturno'!AF33</f>
        <v>0</v>
      </c>
      <c r="I358" s="189">
        <f>'concentrado nocturno'!AG33</f>
        <v>0</v>
      </c>
      <c r="J358" s="189">
        <f>'concentrado nocturno'!AH33</f>
        <v>0</v>
      </c>
      <c r="K358" s="193"/>
    </row>
    <row r="359" spans="1:11" ht="39.950000000000003" customHeight="1" thickTop="1" thickBot="1">
      <c r="A359" s="189">
        <f t="shared" si="34"/>
        <v>206</v>
      </c>
      <c r="B359" s="189" t="str">
        <f t="shared" si="34"/>
        <v>231-14</v>
      </c>
      <c r="C359" s="189" t="str">
        <f t="shared" si="34"/>
        <v>Civil</v>
      </c>
      <c r="D359" s="189">
        <f t="shared" si="34"/>
        <v>0</v>
      </c>
      <c r="E359" s="189">
        <f>'concentrado nocturno'!AC34</f>
        <v>0</v>
      </c>
      <c r="F359" s="189">
        <f>'concentrado nocturno'!AD34</f>
        <v>0</v>
      </c>
      <c r="G359" s="189">
        <f>'concentrado nocturno'!AE34</f>
        <v>0</v>
      </c>
      <c r="H359" s="189">
        <f>'concentrado nocturno'!AF34</f>
        <v>1502</v>
      </c>
      <c r="I359" s="189">
        <f>'concentrado nocturno'!AG34</f>
        <v>1502</v>
      </c>
      <c r="J359" s="189" t="str">
        <f>'concentrado nocturno'!AH34</f>
        <v>1836 sln211</v>
      </c>
      <c r="K359" s="193"/>
    </row>
    <row r="360" spans="1:11" ht="39.950000000000003" customHeight="1" thickTop="1" thickBot="1">
      <c r="A360" s="189">
        <f t="shared" si="34"/>
        <v>207</v>
      </c>
      <c r="B360" s="189" t="str">
        <f t="shared" si="34"/>
        <v>231-14</v>
      </c>
      <c r="C360" s="189" t="str">
        <f t="shared" si="34"/>
        <v>Psicologia</v>
      </c>
      <c r="D360" s="189">
        <f t="shared" si="34"/>
        <v>0</v>
      </c>
      <c r="E360" s="189">
        <f>'concentrado nocturno'!AC35</f>
        <v>0</v>
      </c>
      <c r="F360" s="189">
        <f>'concentrado nocturno'!AD35</f>
        <v>0</v>
      </c>
      <c r="G360" s="189">
        <f>'concentrado nocturno'!AE35</f>
        <v>0</v>
      </c>
      <c r="H360" s="189" t="str">
        <f>'concentrado nocturno'!AF35</f>
        <v>A234</v>
      </c>
      <c r="I360" s="189">
        <f>'concentrado nocturno'!AG35</f>
        <v>1360</v>
      </c>
      <c r="J360" s="189">
        <f>'concentrado nocturno'!AH35</f>
        <v>2390</v>
      </c>
      <c r="K360" s="193"/>
    </row>
    <row r="361" spans="1:11" ht="39.950000000000003" customHeight="1">
      <c r="A361" s="189">
        <f t="shared" si="34"/>
        <v>209</v>
      </c>
      <c r="B361" s="189" t="str">
        <f t="shared" si="34"/>
        <v>1331-13/1431-14</v>
      </c>
      <c r="C361" s="189" t="str">
        <f t="shared" si="34"/>
        <v>Industrial</v>
      </c>
      <c r="D361" s="189">
        <f t="shared" si="34"/>
        <v>0</v>
      </c>
      <c r="E361" s="189">
        <f>'concentrado nocturno'!AC37</f>
        <v>0</v>
      </c>
      <c r="F361" s="189">
        <f>'concentrado nocturno'!AD37</f>
        <v>0</v>
      </c>
      <c r="G361" s="189">
        <f>'concentrado nocturno'!AE37</f>
        <v>0</v>
      </c>
      <c r="H361" s="189" t="str">
        <f>'concentrado nocturno'!AF37</f>
        <v>A103</v>
      </c>
      <c r="I361" s="189">
        <f>'concentrado nocturno'!AG37</f>
        <v>1562</v>
      </c>
      <c r="J361" s="189">
        <f>'concentrado nocturno'!AH37</f>
        <v>2182</v>
      </c>
      <c r="K361" s="193"/>
    </row>
    <row r="362" spans="1:11" ht="39.950000000000003" customHeight="1">
      <c r="A362" s="189">
        <f t="shared" si="34"/>
        <v>208</v>
      </c>
      <c r="B362" s="189" t="str">
        <f t="shared" si="34"/>
        <v>821-9</v>
      </c>
      <c r="C362" s="189" t="str">
        <f t="shared" si="34"/>
        <v>Industrial</v>
      </c>
      <c r="D362" s="189">
        <f t="shared" si="34"/>
        <v>0</v>
      </c>
      <c r="E362" s="189" t="str">
        <f>'concentrado nocturno'!AC36</f>
        <v>A95</v>
      </c>
      <c r="F362" s="189">
        <f>'concentrado nocturno'!AD36</f>
        <v>1562</v>
      </c>
      <c r="G362" s="189">
        <f>'concentrado nocturno'!AE36</f>
        <v>1562</v>
      </c>
      <c r="H362" s="189">
        <f>'concentrado nocturno'!AF36</f>
        <v>2130</v>
      </c>
      <c r="I362" s="189" t="str">
        <f>'concentrado nocturno'!AG36</f>
        <v>A103</v>
      </c>
      <c r="J362" s="189">
        <f>'concentrado nocturno'!AH36</f>
        <v>0</v>
      </c>
      <c r="K362" s="193"/>
    </row>
    <row r="363" spans="1:11" ht="39.950000000000003" customHeight="1">
      <c r="A363" s="189">
        <f t="shared" si="34"/>
        <v>210</v>
      </c>
      <c r="B363" s="189" t="str">
        <f t="shared" si="34"/>
        <v>121-13</v>
      </c>
      <c r="C363" s="189" t="str">
        <f t="shared" si="34"/>
        <v>Psicologia</v>
      </c>
      <c r="D363" s="189">
        <f t="shared" si="34"/>
        <v>0</v>
      </c>
      <c r="E363" s="189">
        <f>'concentrado nocturno'!AC38</f>
        <v>0</v>
      </c>
      <c r="F363" s="189">
        <f>'concentrado nocturno'!AD38</f>
        <v>0</v>
      </c>
      <c r="G363" s="189">
        <f>'concentrado nocturno'!AE38</f>
        <v>0</v>
      </c>
      <c r="H363" s="189">
        <f>'concentrado nocturno'!AF38</f>
        <v>0</v>
      </c>
      <c r="I363" s="189">
        <f>'concentrado nocturno'!AG38</f>
        <v>0</v>
      </c>
      <c r="J363" s="189">
        <f>'concentrado nocturno'!AH38</f>
        <v>0</v>
      </c>
      <c r="K363" s="193"/>
    </row>
    <row r="364" spans="1:11" ht="39.950000000000003" customHeight="1">
      <c r="A364" s="189">
        <f t="shared" si="34"/>
        <v>211</v>
      </c>
      <c r="B364" s="189" t="str">
        <f t="shared" si="34"/>
        <v>1431-14</v>
      </c>
      <c r="C364" s="189" t="str">
        <f t="shared" si="34"/>
        <v>FINANZAS</v>
      </c>
      <c r="D364" s="189">
        <f t="shared" si="34"/>
        <v>0</v>
      </c>
      <c r="E364" s="189">
        <f>'concentrado nocturno'!AC39</f>
        <v>0</v>
      </c>
      <c r="F364" s="189">
        <f>'concentrado nocturno'!AD39</f>
        <v>0</v>
      </c>
      <c r="G364" s="189">
        <f>'concentrado nocturno'!AE39</f>
        <v>0</v>
      </c>
      <c r="H364" s="189" t="str">
        <f>'concentrado nocturno'!AF39</f>
        <v>2448 CC4</v>
      </c>
      <c r="I364" s="189" t="str">
        <f>'concentrado nocturno'!AG39</f>
        <v>990 s201</v>
      </c>
      <c r="J364" s="189" t="str">
        <f>'concentrado nocturno'!AH39</f>
        <v>990 s201</v>
      </c>
      <c r="K364" s="193"/>
    </row>
    <row r="365" spans="1:11" ht="39.950000000000003" customHeight="1">
      <c r="A365" s="189">
        <f t="shared" si="34"/>
        <v>211</v>
      </c>
      <c r="B365" s="189" t="str">
        <f t="shared" si="34"/>
        <v>1421-14</v>
      </c>
      <c r="C365" s="189" t="str">
        <f t="shared" si="34"/>
        <v>Psicologia</v>
      </c>
      <c r="D365" s="189">
        <f t="shared" si="34"/>
        <v>0</v>
      </c>
      <c r="E365" s="189">
        <f>'concentrado nocturno'!AC40</f>
        <v>2372</v>
      </c>
      <c r="F365" s="189">
        <f>'concentrado nocturno'!AD40</f>
        <v>2372</v>
      </c>
      <c r="G365" s="189" t="str">
        <f>'concentrado nocturno'!AE40</f>
        <v>A121</v>
      </c>
      <c r="H365" s="189">
        <f>'concentrado nocturno'!AF40</f>
        <v>0</v>
      </c>
      <c r="I365" s="189">
        <f>'concentrado nocturno'!AG40</f>
        <v>0</v>
      </c>
      <c r="J365" s="189">
        <f>'concentrado nocturno'!AH40</f>
        <v>1836</v>
      </c>
      <c r="K365" s="193"/>
    </row>
    <row r="366" spans="1:11" ht="39.950000000000003" customHeight="1" thickTop="1" thickBot="1">
      <c r="A366" s="189">
        <f t="shared" si="34"/>
        <v>212</v>
      </c>
      <c r="B366" s="189" t="str">
        <f t="shared" si="34"/>
        <v>421-8</v>
      </c>
      <c r="C366" s="189" t="str">
        <f t="shared" si="34"/>
        <v>Industrial</v>
      </c>
      <c r="D366" s="189">
        <f t="shared" si="34"/>
        <v>0</v>
      </c>
      <c r="E366" s="189" t="str">
        <f>'concentrado nocturno'!AC41</f>
        <v>S. 301-A</v>
      </c>
      <c r="F366" s="189">
        <f>'concentrado nocturno'!AD41</f>
        <v>0</v>
      </c>
      <c r="G366" s="189">
        <f>'concentrado nocturno'!AE41</f>
        <v>0</v>
      </c>
      <c r="H366" s="189" t="str">
        <f>'concentrado nocturno'!AF41</f>
        <v>S. 301-A</v>
      </c>
      <c r="I366" s="189" t="str">
        <f>'concentrado nocturno'!AG41</f>
        <v>S. 301-A</v>
      </c>
      <c r="J366" s="189" t="str">
        <f>'concentrado nocturno'!AH41</f>
        <v>1567 S 001</v>
      </c>
      <c r="K366" s="193"/>
    </row>
    <row r="367" spans="1:11" ht="39.950000000000003" customHeight="1" thickTop="1" thickBot="1">
      <c r="A367" s="189">
        <f>+'concentrado nocturno'!A42</f>
        <v>212</v>
      </c>
      <c r="B367" s="189">
        <f>+'concentrado nocturno'!B42</f>
        <v>0</v>
      </c>
      <c r="C367" s="189">
        <f>+'concentrado nocturno'!C42</f>
        <v>0</v>
      </c>
      <c r="D367" s="189"/>
      <c r="E367" s="189">
        <f>'concentrado nocturno'!AC42</f>
        <v>0</v>
      </c>
      <c r="F367" s="189">
        <f>'concentrado nocturno'!AD42</f>
        <v>0</v>
      </c>
      <c r="G367" s="189">
        <f>'concentrado nocturno'!AE42</f>
        <v>0</v>
      </c>
      <c r="H367" s="189">
        <f>'concentrado nocturno'!AF42</f>
        <v>2455</v>
      </c>
      <c r="I367" s="189">
        <f>'concentrado nocturno'!AG42</f>
        <v>2455</v>
      </c>
      <c r="J367" s="189">
        <f>'concentrado nocturno'!AH42</f>
        <v>0</v>
      </c>
      <c r="K367" s="193"/>
    </row>
    <row r="368" spans="1:11" ht="39.950000000000003" customHeight="1" thickTop="1" thickBot="1">
      <c r="A368" s="189">
        <f t="shared" ref="A368:D377" si="35">A286</f>
        <v>213</v>
      </c>
      <c r="B368" s="189" t="str">
        <f t="shared" si="35"/>
        <v>521-14</v>
      </c>
      <c r="C368" s="189" t="str">
        <f t="shared" si="35"/>
        <v>FINANZAS</v>
      </c>
      <c r="D368" s="189">
        <f t="shared" si="35"/>
        <v>0</v>
      </c>
      <c r="E368" s="189" t="str">
        <f>'concentrado nocturno'!AC43</f>
        <v>1228 CC</v>
      </c>
      <c r="F368" s="189" t="str">
        <f>'concentrado nocturno'!AD43</f>
        <v>A97 CC2</v>
      </c>
      <c r="G368" s="189" t="str">
        <f>'concentrado nocturno'!AE43</f>
        <v>1567 S 102</v>
      </c>
      <c r="H368" s="189" t="str">
        <f>'concentrado nocturno'!AF43</f>
        <v xml:space="preserve">                    </v>
      </c>
      <c r="I368" s="189">
        <f>'concentrado nocturno'!AG43</f>
        <v>0</v>
      </c>
      <c r="J368" s="189">
        <f>'concentrado nocturno'!AH43</f>
        <v>0</v>
      </c>
      <c r="K368" s="193"/>
    </row>
    <row r="369" spans="1:11" ht="39.950000000000003" customHeight="1">
      <c r="A369" s="189">
        <f t="shared" si="35"/>
        <v>214</v>
      </c>
      <c r="B369" s="189">
        <f t="shared" si="35"/>
        <v>0</v>
      </c>
      <c r="C369" s="189">
        <f t="shared" si="35"/>
        <v>0</v>
      </c>
      <c r="D369" s="189">
        <f t="shared" si="35"/>
        <v>0</v>
      </c>
      <c r="E369" s="189">
        <f>'concentrado nocturno'!AC44</f>
        <v>0</v>
      </c>
      <c r="F369" s="189">
        <f>'concentrado nocturno'!AD44</f>
        <v>0</v>
      </c>
      <c r="G369" s="189">
        <f>'concentrado nocturno'!AE44</f>
        <v>0</v>
      </c>
      <c r="H369" s="189">
        <f>'concentrado nocturno'!AF44</f>
        <v>0</v>
      </c>
      <c r="I369" s="189">
        <f>'concentrado nocturno'!AG44</f>
        <v>0</v>
      </c>
      <c r="J369" s="189">
        <f>'concentrado nocturno'!AH44</f>
        <v>0</v>
      </c>
      <c r="K369" s="193"/>
    </row>
    <row r="370" spans="1:11" ht="39.950000000000003" customHeight="1">
      <c r="A370" s="189">
        <f t="shared" si="35"/>
        <v>215</v>
      </c>
      <c r="B370" s="189" t="str">
        <f t="shared" si="35"/>
        <v>1421-14</v>
      </c>
      <c r="C370" s="189" t="str">
        <f t="shared" si="35"/>
        <v>Compu</v>
      </c>
      <c r="D370" s="189">
        <f t="shared" si="35"/>
        <v>0</v>
      </c>
      <c r="E370" s="189">
        <f>'concentrado nocturno'!AC45</f>
        <v>0</v>
      </c>
      <c r="F370" s="189">
        <f>'concentrado nocturno'!AD45</f>
        <v>2448</v>
      </c>
      <c r="G370" s="189">
        <f>'concentrado nocturno'!AE45</f>
        <v>2448</v>
      </c>
      <c r="H370" s="189" t="str">
        <f>'concentrado nocturno'!AF45</f>
        <v>A161 CC</v>
      </c>
      <c r="I370" s="189">
        <f>'concentrado nocturno'!AG45</f>
        <v>0</v>
      </c>
      <c r="J370" s="189">
        <f>'concentrado nocturno'!AH45</f>
        <v>0</v>
      </c>
      <c r="K370" s="193"/>
    </row>
    <row r="371" spans="1:11" ht="39.950000000000003" customHeight="1">
      <c r="A371" s="189">
        <f t="shared" si="35"/>
        <v>216</v>
      </c>
      <c r="B371" s="189" t="str">
        <f t="shared" si="35"/>
        <v>821-14</v>
      </c>
      <c r="C371" s="189" t="str">
        <f t="shared" si="35"/>
        <v>Mecatronica</v>
      </c>
      <c r="D371" s="189">
        <f t="shared" si="35"/>
        <v>0</v>
      </c>
      <c r="E371" s="189">
        <f>'concentrado nocturno'!AC46</f>
        <v>0</v>
      </c>
      <c r="F371" s="189">
        <f>'concentrado nocturno'!AD46</f>
        <v>0</v>
      </c>
      <c r="G371" s="189">
        <f>'concentrado nocturno'!AE46</f>
        <v>0</v>
      </c>
      <c r="H371" s="189">
        <f>'concentrado nocturno'!AF46</f>
        <v>0</v>
      </c>
      <c r="I371" s="189">
        <f>'concentrado nocturno'!AG46</f>
        <v>0</v>
      </c>
      <c r="J371" s="189">
        <f>'concentrado nocturno'!AH46</f>
        <v>0</v>
      </c>
      <c r="K371" s="193"/>
    </row>
    <row r="372" spans="1:11" ht="39.950000000000003" customHeight="1">
      <c r="A372" s="189">
        <f t="shared" si="35"/>
        <v>217</v>
      </c>
      <c r="B372" s="189">
        <f t="shared" si="35"/>
        <v>0</v>
      </c>
      <c r="C372" s="189">
        <f t="shared" si="35"/>
        <v>0</v>
      </c>
      <c r="D372" s="189">
        <f t="shared" si="35"/>
        <v>0</v>
      </c>
      <c r="E372" s="189">
        <f>'concentrado nocturno'!AC47</f>
        <v>0</v>
      </c>
      <c r="F372" s="189">
        <f>'concentrado nocturno'!AD47</f>
        <v>0</v>
      </c>
      <c r="G372" s="189">
        <f>'concentrado nocturno'!AE47</f>
        <v>0</v>
      </c>
      <c r="H372" s="189">
        <f>'concentrado nocturno'!AF47</f>
        <v>0</v>
      </c>
      <c r="I372" s="189">
        <f>'concentrado nocturno'!AG47</f>
        <v>0</v>
      </c>
      <c r="J372" s="189">
        <f>'concentrado nocturno'!AH47</f>
        <v>0</v>
      </c>
      <c r="K372" s="193"/>
    </row>
    <row r="373" spans="1:11" ht="39.950000000000003" customHeight="1" thickTop="1" thickBot="1">
      <c r="A373" s="189">
        <f t="shared" si="35"/>
        <v>218</v>
      </c>
      <c r="B373" s="189" t="str">
        <f t="shared" si="35"/>
        <v>1031-13/1131-14</v>
      </c>
      <c r="C373" s="189" t="str">
        <f t="shared" si="35"/>
        <v>Industrial</v>
      </c>
      <c r="D373" s="189">
        <f t="shared" si="35"/>
        <v>0</v>
      </c>
      <c r="E373" s="189">
        <f>'concentrado nocturno'!AC48</f>
        <v>0</v>
      </c>
      <c r="F373" s="189">
        <f>'concentrado nocturno'!AD48</f>
        <v>0</v>
      </c>
      <c r="G373" s="189">
        <f>'concentrado nocturno'!AE48</f>
        <v>0</v>
      </c>
      <c r="H373" s="189">
        <f>'concentrado nocturno'!AF48</f>
        <v>1567</v>
      </c>
      <c r="I373" s="189">
        <f>'concentrado nocturno'!AG48</f>
        <v>1567</v>
      </c>
      <c r="J373" s="189">
        <f>'concentrado nocturno'!AH48</f>
        <v>98</v>
      </c>
      <c r="K373" s="193"/>
    </row>
    <row r="374" spans="1:11" ht="39.950000000000003" customHeight="1" thickTop="1" thickBot="1">
      <c r="A374" s="189" t="str">
        <f t="shared" si="35"/>
        <v>219-A</v>
      </c>
      <c r="B374" s="189" t="str">
        <f t="shared" si="35"/>
        <v>521-9</v>
      </c>
      <c r="C374" s="189" t="str">
        <f t="shared" si="35"/>
        <v>Mecatronica</v>
      </c>
      <c r="D374" s="189">
        <f t="shared" si="35"/>
        <v>0</v>
      </c>
      <c r="E374" s="189">
        <f>'concentrado nocturno'!AC49</f>
        <v>2095</v>
      </c>
      <c r="F374" s="189">
        <f>'concentrado nocturno'!AD49</f>
        <v>0</v>
      </c>
      <c r="G374" s="189">
        <f>'concentrado nocturno'!AE49</f>
        <v>0</v>
      </c>
      <c r="H374" s="189" t="str">
        <f>'concentrado nocturno'!AF49</f>
        <v>A105</v>
      </c>
      <c r="I374" s="189" t="str">
        <f>'concentrado nocturno'!AG49</f>
        <v>A105</v>
      </c>
      <c r="J374" s="189">
        <f>'concentrado nocturno'!AH49</f>
        <v>0</v>
      </c>
      <c r="K374" s="193"/>
    </row>
    <row r="375" spans="1:11" ht="39.950000000000003" customHeight="1" thickTop="1" thickBot="1">
      <c r="A375" s="189">
        <f t="shared" si="35"/>
        <v>219</v>
      </c>
      <c r="B375" s="189">
        <f t="shared" si="35"/>
        <v>0</v>
      </c>
      <c r="C375" s="189">
        <f t="shared" si="35"/>
        <v>0</v>
      </c>
      <c r="D375" s="189">
        <f t="shared" si="35"/>
        <v>0</v>
      </c>
      <c r="E375" s="189">
        <f>'concentrado nocturno'!AC50</f>
        <v>0</v>
      </c>
      <c r="F375" s="189">
        <f>'concentrado nocturno'!AD50</f>
        <v>0</v>
      </c>
      <c r="G375" s="189">
        <f>'concentrado nocturno'!AE50</f>
        <v>0</v>
      </c>
      <c r="H375" s="189">
        <f>'concentrado nocturno'!AF50</f>
        <v>0</v>
      </c>
      <c r="I375" s="189">
        <f>'concentrado nocturno'!AG50</f>
        <v>0</v>
      </c>
      <c r="J375" s="189">
        <f>'concentrado nocturno'!AH50</f>
        <v>0</v>
      </c>
      <c r="K375" s="193"/>
    </row>
    <row r="376" spans="1:11" ht="39.950000000000003" customHeight="1">
      <c r="A376" s="189">
        <f t="shared" si="35"/>
        <v>220</v>
      </c>
      <c r="B376" s="189" t="str">
        <f t="shared" si="35"/>
        <v>1031-13/1131-14</v>
      </c>
      <c r="C376" s="189" t="str">
        <f t="shared" si="35"/>
        <v>Compu</v>
      </c>
      <c r="D376" s="189">
        <f t="shared" si="35"/>
        <v>0</v>
      </c>
      <c r="E376" s="189">
        <f>'concentrado nocturno'!AC51</f>
        <v>0</v>
      </c>
      <c r="F376" s="189">
        <f>'concentrado nocturno'!AD51</f>
        <v>0</v>
      </c>
      <c r="G376" s="189" t="str">
        <f>'concentrado nocturno'!AE51</f>
        <v>1035 sim</v>
      </c>
      <c r="H376" s="189" t="str">
        <f>'concentrado nocturno'!AF51</f>
        <v>1035 sim</v>
      </c>
      <c r="I376" s="189" t="str">
        <f>'concentrado nocturno'!AG51</f>
        <v>1035 sim</v>
      </c>
      <c r="J376" s="189">
        <f>'concentrado nocturno'!AH51</f>
        <v>0</v>
      </c>
      <c r="K376" s="193"/>
    </row>
    <row r="377" spans="1:11" ht="39.950000000000003" customHeight="1" thickTop="1">
      <c r="A377" s="189">
        <f t="shared" si="35"/>
        <v>221</v>
      </c>
      <c r="B377" s="189" t="str">
        <f t="shared" si="35"/>
        <v>731-13/831-14</v>
      </c>
      <c r="C377" s="189" t="str">
        <f t="shared" si="35"/>
        <v>Compu</v>
      </c>
      <c r="D377" s="189">
        <f t="shared" si="35"/>
        <v>0</v>
      </c>
      <c r="E377" s="189">
        <f>'concentrado nocturno'!AC52</f>
        <v>0</v>
      </c>
      <c r="F377" s="189">
        <f>'concentrado nocturno'!AD52</f>
        <v>0</v>
      </c>
      <c r="G377" s="189">
        <f>'concentrado nocturno'!AE52</f>
        <v>2101</v>
      </c>
      <c r="H377" s="189">
        <f>'concentrado nocturno'!AF52</f>
        <v>0</v>
      </c>
      <c r="I377" s="189">
        <f>'concentrado nocturno'!AG52</f>
        <v>0</v>
      </c>
      <c r="J377" s="189">
        <f>'concentrado nocturno'!AH52</f>
        <v>0</v>
      </c>
      <c r="K377" s="193"/>
    </row>
    <row r="378" spans="1:11" ht="39.950000000000003" customHeight="1" thickBot="1">
      <c r="A378" s="385"/>
      <c r="B378" s="386"/>
      <c r="C378" s="386"/>
      <c r="D378" s="386"/>
      <c r="E378" s="386"/>
      <c r="F378" s="386"/>
      <c r="G378" s="386"/>
      <c r="H378" s="387"/>
      <c r="I378" s="193"/>
      <c r="J378" s="193"/>
      <c r="K378" s="193"/>
    </row>
    <row r="379" spans="1:11" ht="39.950000000000003" customHeight="1">
      <c r="A379" s="388" t="str">
        <f>A350</f>
        <v>REGISTRO DIARIO DE INCIDENCIAS</v>
      </c>
      <c r="B379" s="389"/>
      <c r="C379" s="389"/>
      <c r="D379" s="389"/>
      <c r="E379" s="389"/>
      <c r="F379" s="389"/>
      <c r="G379" s="389"/>
      <c r="H379" s="389"/>
      <c r="I379" s="389"/>
      <c r="J379" s="390"/>
      <c r="K379" s="193"/>
    </row>
    <row r="380" spans="1:11" ht="39.950000000000003" customHeight="1">
      <c r="A380" s="391" t="str">
        <f>A351</f>
        <v>PERIODO ENERO- ABRIL 2026</v>
      </c>
      <c r="B380" s="392"/>
      <c r="C380" s="392"/>
      <c r="D380" s="392"/>
      <c r="E380" s="392"/>
      <c r="F380" s="392"/>
      <c r="G380" s="392"/>
      <c r="H380" s="392"/>
      <c r="I380" s="392"/>
      <c r="J380" s="393"/>
      <c r="K380" s="193"/>
    </row>
    <row r="381" spans="1:11" ht="39.950000000000003" customHeight="1">
      <c r="A381" s="394" t="str">
        <f>A352</f>
        <v>TURNOS: VESP Y NOCTURNO</v>
      </c>
      <c r="B381" s="395"/>
      <c r="C381" s="395"/>
      <c r="D381" s="396">
        <f>D352</f>
        <v>46087</v>
      </c>
      <c r="E381" s="396"/>
      <c r="F381" s="396"/>
      <c r="G381" s="395" t="str">
        <f>G352</f>
        <v xml:space="preserve">SEM 9 LIC </v>
      </c>
      <c r="H381" s="395"/>
      <c r="I381" s="395"/>
      <c r="J381" s="397"/>
      <c r="K381" s="193"/>
    </row>
    <row r="382" spans="1:11" ht="39.950000000000003" customHeight="1">
      <c r="A382" s="190" t="str">
        <f>A353</f>
        <v>Aula</v>
      </c>
      <c r="B382" s="190" t="str">
        <f t="shared" ref="B382:J382" si="36">B353</f>
        <v>Gpo.</v>
      </c>
      <c r="C382" s="190" t="str">
        <f t="shared" si="36"/>
        <v>Licenciatura</v>
      </c>
      <c r="D382" s="190" t="str">
        <f t="shared" si="36"/>
        <v>Op</v>
      </c>
      <c r="E382" s="190" t="str">
        <f t="shared" si="36"/>
        <v>16:00</v>
      </c>
      <c r="F382" s="190" t="str">
        <f t="shared" si="36"/>
        <v>17:00</v>
      </c>
      <c r="G382" s="190" t="str">
        <f t="shared" si="36"/>
        <v>18:00</v>
      </c>
      <c r="H382" s="190" t="str">
        <f t="shared" si="36"/>
        <v>19:00</v>
      </c>
      <c r="I382" s="190" t="str">
        <f t="shared" si="36"/>
        <v>20:00</v>
      </c>
      <c r="J382" s="190" t="str">
        <f t="shared" si="36"/>
        <v>21:00</v>
      </c>
      <c r="K382" s="193"/>
    </row>
    <row r="383" spans="1:11" ht="39.950000000000003" customHeight="1">
      <c r="A383" s="189">
        <f>A303</f>
        <v>301</v>
      </c>
      <c r="B383" s="189" t="str">
        <f>B303</f>
        <v>521-9</v>
      </c>
      <c r="C383" s="189" t="str">
        <f>C303</f>
        <v>Civil</v>
      </c>
      <c r="D383" s="189">
        <f>D303</f>
        <v>0</v>
      </c>
      <c r="E383" s="209">
        <f>'concentrado nocturno'!AC53</f>
        <v>2401</v>
      </c>
      <c r="F383" s="209">
        <f>'concentrado nocturno'!AD53</f>
        <v>0</v>
      </c>
      <c r="G383" s="209">
        <f>'concentrado nocturno'!AE53</f>
        <v>0</v>
      </c>
      <c r="H383" s="209" t="str">
        <f>'concentrado nocturno'!AF53</f>
        <v>A136</v>
      </c>
      <c r="I383" s="209" t="str">
        <f>'concentrado nocturno'!AG53</f>
        <v>A136</v>
      </c>
      <c r="J383" s="209">
        <f>'concentrado nocturno'!AH53</f>
        <v>0</v>
      </c>
      <c r="K383" s="193"/>
    </row>
    <row r="384" spans="1:11" ht="39.950000000000003" customHeight="1">
      <c r="A384" s="237" t="str">
        <f t="shared" ref="A384:A401" si="37">A304</f>
        <v>301-A</v>
      </c>
      <c r="B384" s="189" t="str">
        <f t="shared" ref="B384:B401" si="38">B304</f>
        <v>521-9</v>
      </c>
      <c r="C384" s="189" t="str">
        <f t="shared" ref="C384:C401" si="39">C304</f>
        <v>Industrial</v>
      </c>
      <c r="D384" s="189">
        <f t="shared" ref="D384:D401" si="40">D304</f>
        <v>0</v>
      </c>
      <c r="E384" s="209" t="str">
        <f>'concentrado nocturno'!AC54</f>
        <v>A184</v>
      </c>
      <c r="F384" s="209">
        <f>'concentrado nocturno'!AD54</f>
        <v>0</v>
      </c>
      <c r="G384" s="209">
        <f>'concentrado nocturno'!AE54</f>
        <v>0</v>
      </c>
      <c r="H384" s="209">
        <f>'concentrado nocturno'!AF54</f>
        <v>2163</v>
      </c>
      <c r="I384" s="209" t="str">
        <f>'concentrado nocturno'!AG54</f>
        <v>A225</v>
      </c>
      <c r="J384" s="209">
        <f>'concentrado nocturno'!AH54</f>
        <v>0</v>
      </c>
      <c r="K384" s="193"/>
    </row>
    <row r="385" spans="1:12" ht="39.950000000000003" customHeight="1">
      <c r="A385" s="189">
        <f t="shared" si="37"/>
        <v>302</v>
      </c>
      <c r="B385" s="189" t="str">
        <f t="shared" si="38"/>
        <v>221-9</v>
      </c>
      <c r="C385" s="189" t="str">
        <f t="shared" si="39"/>
        <v>Psicologia</v>
      </c>
      <c r="D385" s="189">
        <f t="shared" si="40"/>
        <v>0</v>
      </c>
      <c r="E385" s="209" t="str">
        <f>'concentrado nocturno'!AC55</f>
        <v>1567 S 219</v>
      </c>
      <c r="F385" s="209">
        <f>'concentrado nocturno'!AD55</f>
        <v>1602</v>
      </c>
      <c r="G385" s="209" t="str">
        <f>'concentrado nocturno'!AE55</f>
        <v>A257</v>
      </c>
      <c r="H385" s="209">
        <f>'concentrado nocturno'!AF55</f>
        <v>2206</v>
      </c>
      <c r="I385" s="209">
        <f>'concentrado nocturno'!AG55</f>
        <v>2206</v>
      </c>
      <c r="J385" s="209">
        <f>'concentrado nocturno'!AH55</f>
        <v>0</v>
      </c>
      <c r="K385" s="193"/>
    </row>
    <row r="386" spans="1:12" ht="39.950000000000003" customHeight="1">
      <c r="A386" s="189">
        <f t="shared" si="37"/>
        <v>303</v>
      </c>
      <c r="B386" s="189" t="str">
        <f t="shared" si="38"/>
        <v>521-9</v>
      </c>
      <c r="C386" s="189" t="str">
        <f t="shared" si="39"/>
        <v>FINANZAS</v>
      </c>
      <c r="D386" s="189">
        <f t="shared" si="40"/>
        <v>0</v>
      </c>
      <c r="E386" s="209" t="str">
        <f>'concentrado nocturno'!AC56</f>
        <v>A114</v>
      </c>
      <c r="F386" s="209">
        <f>'concentrado nocturno'!AD56</f>
        <v>0</v>
      </c>
      <c r="G386" s="209">
        <f>'concentrado nocturno'!AE56</f>
        <v>0</v>
      </c>
      <c r="H386" s="209" t="str">
        <f>'concentrado nocturno'!AF56</f>
        <v>A97</v>
      </c>
      <c r="I386" s="209" t="str">
        <f>'concentrado nocturno'!AG56</f>
        <v>A97</v>
      </c>
      <c r="J386" s="209">
        <f>'concentrado nocturno'!AH56</f>
        <v>0</v>
      </c>
      <c r="K386" s="193"/>
    </row>
    <row r="387" spans="1:12" ht="39.950000000000003" customHeight="1" thickTop="1" thickBot="1">
      <c r="A387" s="189">
        <f t="shared" si="37"/>
        <v>304</v>
      </c>
      <c r="B387" s="189" t="str">
        <f t="shared" si="38"/>
        <v>1131-14</v>
      </c>
      <c r="C387" s="189" t="str">
        <f t="shared" si="39"/>
        <v>Electro</v>
      </c>
      <c r="D387" s="189">
        <f t="shared" si="40"/>
        <v>0</v>
      </c>
      <c r="E387" s="209">
        <f>'concentrado nocturno'!AC57</f>
        <v>0</v>
      </c>
      <c r="F387" s="209">
        <f>'concentrado nocturno'!AD57</f>
        <v>0</v>
      </c>
      <c r="G387" s="209">
        <f>'concentrado nocturno'!AE57</f>
        <v>1534</v>
      </c>
      <c r="H387" s="209">
        <f>'concentrado nocturno'!AF57</f>
        <v>2095</v>
      </c>
      <c r="I387" s="209">
        <f>'concentrado nocturno'!AG57</f>
        <v>2095</v>
      </c>
      <c r="J387" s="209">
        <f>'concentrado nocturno'!AH57</f>
        <v>0</v>
      </c>
      <c r="K387" s="193"/>
    </row>
    <row r="388" spans="1:12" ht="39.950000000000003" customHeight="1" thickTop="1" thickBot="1">
      <c r="A388" s="189">
        <f t="shared" si="37"/>
        <v>305</v>
      </c>
      <c r="B388" s="189" t="str">
        <f t="shared" si="38"/>
        <v>221-9</v>
      </c>
      <c r="C388" s="189" t="str">
        <f t="shared" si="39"/>
        <v>Negocios</v>
      </c>
      <c r="D388" s="189">
        <f t="shared" si="40"/>
        <v>0</v>
      </c>
      <c r="E388" s="209">
        <f>'concentrado nocturno'!AC58</f>
        <v>1567</v>
      </c>
      <c r="F388" s="209" t="str">
        <f>'concentrado nocturno'!AD58</f>
        <v>A96</v>
      </c>
      <c r="G388" s="209" t="str">
        <f>'concentrado nocturno'!AE58</f>
        <v>A96</v>
      </c>
      <c r="H388" s="209" t="str">
        <f>'concentrado nocturno'!AF63</f>
        <v>A257</v>
      </c>
      <c r="I388" s="209" t="str">
        <f>'concentrado nocturno'!AG63</f>
        <v>A257</v>
      </c>
      <c r="J388" s="209" t="str">
        <f>'concentrado nocturno'!AH63</f>
        <v>A121</v>
      </c>
      <c r="K388" s="193"/>
    </row>
    <row r="389" spans="1:12" ht="39.950000000000003" customHeight="1" thickTop="1" thickBot="1">
      <c r="A389" s="189">
        <f t="shared" si="37"/>
        <v>306</v>
      </c>
      <c r="B389" s="189">
        <f t="shared" si="38"/>
        <v>0</v>
      </c>
      <c r="C389" s="189">
        <f t="shared" si="39"/>
        <v>0</v>
      </c>
      <c r="D389" s="189" t="str">
        <f t="shared" si="40"/>
        <v>11AN</v>
      </c>
      <c r="E389" s="209">
        <f>'concentrado nocturno'!AC59</f>
        <v>0</v>
      </c>
      <c r="F389" s="209">
        <f>'concentrado nocturno'!AD59</f>
        <v>0</v>
      </c>
      <c r="G389" s="209">
        <f>'concentrado nocturno'!AE59</f>
        <v>0</v>
      </c>
      <c r="H389" s="209">
        <f>'concentrado nocturno'!AF59</f>
        <v>0</v>
      </c>
      <c r="I389" s="209">
        <f>'concentrado nocturno'!AG59</f>
        <v>0</v>
      </c>
      <c r="J389" s="209">
        <f>'concentrado nocturno'!AH59</f>
        <v>0</v>
      </c>
      <c r="K389" s="193"/>
    </row>
    <row r="390" spans="1:12" ht="39.950000000000003" customHeight="1" thickTop="1" thickBot="1">
      <c r="A390" s="189">
        <f t="shared" si="37"/>
        <v>307</v>
      </c>
      <c r="B390" s="189" t="str">
        <f t="shared" si="38"/>
        <v>231-14</v>
      </c>
      <c r="C390" s="189" t="str">
        <f t="shared" si="39"/>
        <v>Industrial</v>
      </c>
      <c r="D390" s="189">
        <f t="shared" si="40"/>
        <v>0</v>
      </c>
      <c r="E390" s="209">
        <f>'concentrado nocturno'!AC60</f>
        <v>0</v>
      </c>
      <c r="F390" s="209">
        <f>'concentrado nocturno'!AD60</f>
        <v>0</v>
      </c>
      <c r="G390" s="209">
        <f>'concentrado nocturno'!AE60</f>
        <v>1153</v>
      </c>
      <c r="H390" s="209">
        <f>'concentrado nocturno'!AF60</f>
        <v>765</v>
      </c>
      <c r="I390" s="209">
        <f>'concentrado nocturno'!AG60</f>
        <v>1579</v>
      </c>
      <c r="J390" s="209">
        <f>'concentrado nocturno'!AH60</f>
        <v>0</v>
      </c>
      <c r="K390" s="193"/>
    </row>
    <row r="391" spans="1:12" ht="39.950000000000003" customHeight="1" thickTop="1" thickBot="1">
      <c r="A391" s="189">
        <f t="shared" si="37"/>
        <v>308</v>
      </c>
      <c r="B391" s="189" t="str">
        <f t="shared" si="38"/>
        <v>831-14</v>
      </c>
      <c r="C391" s="189" t="str">
        <f t="shared" si="39"/>
        <v>Civil</v>
      </c>
      <c r="D391" s="189">
        <f t="shared" si="40"/>
        <v>0</v>
      </c>
      <c r="E391" s="209">
        <f>'concentrado nocturno'!AC61</f>
        <v>0</v>
      </c>
      <c r="F391" s="209">
        <f>'concentrado nocturno'!AD61</f>
        <v>0</v>
      </c>
      <c r="G391" s="209">
        <f>'concentrado nocturno'!AE61</f>
        <v>0</v>
      </c>
      <c r="H391" s="209">
        <f>'concentrado nocturno'!AF61</f>
        <v>0</v>
      </c>
      <c r="I391" s="209">
        <f>'concentrado nocturno'!AG61</f>
        <v>0</v>
      </c>
      <c r="J391" s="209">
        <f>'concentrado nocturno'!AH61</f>
        <v>1384</v>
      </c>
      <c r="K391" s="193"/>
    </row>
    <row r="392" spans="1:12" ht="39.950000000000003" customHeight="1" thickTop="1" thickBot="1">
      <c r="A392" s="189">
        <f t="shared" si="37"/>
        <v>309</v>
      </c>
      <c r="B392" s="189" t="str">
        <f t="shared" si="38"/>
        <v xml:space="preserve">731-13   </v>
      </c>
      <c r="C392" s="189" t="str">
        <f t="shared" si="39"/>
        <v>Industrial</v>
      </c>
      <c r="D392" s="189">
        <f t="shared" si="40"/>
        <v>0</v>
      </c>
      <c r="E392" s="209">
        <f>'concentrado nocturno'!AC62</f>
        <v>0</v>
      </c>
      <c r="F392" s="209">
        <f>'concentrado nocturno'!AD62</f>
        <v>0</v>
      </c>
      <c r="G392" s="209">
        <f>'concentrado nocturno'!AE62</f>
        <v>0</v>
      </c>
      <c r="H392" s="209">
        <f>'concentrado nocturno'!AF62</f>
        <v>0</v>
      </c>
      <c r="I392" s="209">
        <f>'concentrado nocturno'!AG62</f>
        <v>0</v>
      </c>
      <c r="J392" s="209">
        <f>'concentrado nocturno'!AH62</f>
        <v>2525</v>
      </c>
      <c r="K392" s="193"/>
      <c r="L392" s="158" t="s">
        <v>10</v>
      </c>
    </row>
    <row r="393" spans="1:12" ht="39.950000000000003" customHeight="1" thickTop="1" thickBot="1">
      <c r="A393" s="237" t="str">
        <f t="shared" si="37"/>
        <v>309-A</v>
      </c>
      <c r="B393" s="189" t="str">
        <f t="shared" si="38"/>
        <v>531-14</v>
      </c>
      <c r="C393" s="189" t="str">
        <f t="shared" si="39"/>
        <v>Psicologia</v>
      </c>
      <c r="D393" s="189" t="str">
        <f t="shared" si="40"/>
        <v>2AN</v>
      </c>
      <c r="E393" s="209">
        <f>'concentrado nocturno'!AC63</f>
        <v>0</v>
      </c>
      <c r="F393" s="209">
        <f>'concentrado nocturno'!AD63</f>
        <v>0</v>
      </c>
      <c r="G393" s="209">
        <f>'concentrado nocturno'!AE63</f>
        <v>0</v>
      </c>
      <c r="H393" s="209" t="str">
        <f>'concentrado nocturno'!AF63</f>
        <v>A257</v>
      </c>
      <c r="I393" s="209" t="str">
        <f>'concentrado nocturno'!AG63</f>
        <v>A257</v>
      </c>
      <c r="J393" s="209" t="str">
        <f>'concentrado nocturno'!AH63</f>
        <v>A121</v>
      </c>
      <c r="K393" s="193"/>
    </row>
    <row r="394" spans="1:12" ht="39.950000000000003" customHeight="1" thickTop="1" thickBot="1">
      <c r="A394" s="189">
        <f t="shared" si="37"/>
        <v>310</v>
      </c>
      <c r="B394" s="189">
        <f t="shared" si="38"/>
        <v>0</v>
      </c>
      <c r="C394" s="189">
        <f t="shared" si="39"/>
        <v>0</v>
      </c>
      <c r="D394" s="189">
        <f t="shared" si="40"/>
        <v>0</v>
      </c>
      <c r="E394" s="209">
        <f>'concentrado nocturno'!AC64</f>
        <v>0</v>
      </c>
      <c r="F394" s="209">
        <f>'concentrado nocturno'!AD64</f>
        <v>0</v>
      </c>
      <c r="G394" s="209">
        <f>'concentrado nocturno'!AE64</f>
        <v>0</v>
      </c>
      <c r="H394" s="209">
        <f>'concentrado nocturno'!AF64</f>
        <v>0</v>
      </c>
      <c r="I394" s="209">
        <f>'concentrado nocturno'!AG64</f>
        <v>0</v>
      </c>
      <c r="J394" s="209">
        <f>'concentrado nocturno'!AH64</f>
        <v>0</v>
      </c>
      <c r="K394" s="193"/>
    </row>
    <row r="395" spans="1:12" ht="39.950000000000003" customHeight="1" thickTop="1" thickBot="1">
      <c r="A395" s="189">
        <f t="shared" si="37"/>
        <v>311</v>
      </c>
      <c r="B395" s="189" t="str">
        <f t="shared" si="38"/>
        <v>431-13/531-14</v>
      </c>
      <c r="C395" s="189" t="str">
        <f t="shared" si="39"/>
        <v>Mecatronica</v>
      </c>
      <c r="D395" s="189">
        <f t="shared" si="40"/>
        <v>0</v>
      </c>
      <c r="E395" s="209">
        <f>'concentrado nocturno'!AC65</f>
        <v>0</v>
      </c>
      <c r="F395" s="209">
        <f>'concentrado nocturno'!AD65</f>
        <v>0</v>
      </c>
      <c r="G395" s="209">
        <f>'concentrado nocturno'!AE65</f>
        <v>0</v>
      </c>
      <c r="H395" s="209">
        <f>'concentrado nocturno'!AF65</f>
        <v>2387</v>
      </c>
      <c r="I395" s="209">
        <f>'concentrado nocturno'!AG65</f>
        <v>2387</v>
      </c>
      <c r="J395" s="209" t="str">
        <f>'concentrado nocturno'!AH65</f>
        <v>1567 S 001</v>
      </c>
      <c r="K395" s="193"/>
    </row>
    <row r="396" spans="1:12" ht="39.950000000000003" customHeight="1" thickTop="1" thickBot="1">
      <c r="A396" s="189">
        <f t="shared" si="37"/>
        <v>312</v>
      </c>
      <c r="B396" s="189" t="str">
        <f t="shared" si="38"/>
        <v>231-14</v>
      </c>
      <c r="C396" s="189" t="str">
        <f t="shared" si="39"/>
        <v>Mecatronica</v>
      </c>
      <c r="D396" s="189">
        <f t="shared" si="40"/>
        <v>0</v>
      </c>
      <c r="E396" s="209">
        <f>'concentrado nocturno'!AC66</f>
        <v>0</v>
      </c>
      <c r="F396" s="209">
        <f>'concentrado nocturno'!AD66</f>
        <v>1567</v>
      </c>
      <c r="G396" s="209">
        <f>'concentrado nocturno'!AE66</f>
        <v>2095</v>
      </c>
      <c r="H396" s="209">
        <f>'concentrado nocturno'!AF66</f>
        <v>1865</v>
      </c>
      <c r="I396" s="209">
        <f>'concentrado nocturno'!AG66</f>
        <v>0</v>
      </c>
      <c r="J396" s="209">
        <f>'concentrado nocturno'!AH66</f>
        <v>0</v>
      </c>
      <c r="K396" s="193"/>
    </row>
    <row r="397" spans="1:12" ht="39.950000000000003" customHeight="1" thickTop="1" thickBot="1">
      <c r="A397" s="189">
        <f t="shared" si="37"/>
        <v>313</v>
      </c>
      <c r="B397" s="189" t="str">
        <f t="shared" si="38"/>
        <v>731-13/831-14</v>
      </c>
      <c r="C397" s="189" t="str">
        <f t="shared" si="39"/>
        <v>Industrial</v>
      </c>
      <c r="D397" s="189" t="str">
        <f t="shared" si="40"/>
        <v>5AN</v>
      </c>
      <c r="E397" s="209">
        <f>'concentrado nocturno'!AC67</f>
        <v>0</v>
      </c>
      <c r="F397" s="209">
        <f>'concentrado nocturno'!AD67</f>
        <v>0</v>
      </c>
      <c r="G397" s="209">
        <f>'concentrado nocturno'!AE67</f>
        <v>0</v>
      </c>
      <c r="H397" s="209" t="str">
        <f>'concentrado nocturno'!AF67</f>
        <v>A78</v>
      </c>
      <c r="I397" s="209" t="str">
        <f>'concentrado nocturno'!AG67</f>
        <v>A78</v>
      </c>
      <c r="J397" s="209" t="str">
        <f>'concentrado nocturno'!AH67</f>
        <v>A103</v>
      </c>
      <c r="K397" s="193"/>
    </row>
    <row r="398" spans="1:12" ht="39.950000000000003" customHeight="1" thickTop="1" thickBot="1">
      <c r="A398" s="189">
        <f t="shared" si="37"/>
        <v>314</v>
      </c>
      <c r="B398" s="189" t="str">
        <f t="shared" si="38"/>
        <v>1031-13/1131-14</v>
      </c>
      <c r="C398" s="189" t="str">
        <f t="shared" si="39"/>
        <v>Mecatronica</v>
      </c>
      <c r="D398" s="189">
        <f t="shared" si="40"/>
        <v>0</v>
      </c>
      <c r="E398" s="209">
        <f>'concentrado nocturno'!AC68</f>
        <v>0</v>
      </c>
      <c r="F398" s="209">
        <f>'concentrado nocturno'!AD68</f>
        <v>0</v>
      </c>
      <c r="G398" s="209">
        <f>'concentrado nocturno'!AE68</f>
        <v>0</v>
      </c>
      <c r="H398" s="209">
        <f>'concentrado nocturno'!AF68</f>
        <v>1602</v>
      </c>
      <c r="I398" s="209">
        <f>'concentrado nocturno'!AG68</f>
        <v>1602</v>
      </c>
      <c r="J398" s="209" t="str">
        <f>'concentrado nocturno'!AH68</f>
        <v>2163 S 101</v>
      </c>
    </row>
    <row r="399" spans="1:12" ht="39.950000000000003" customHeight="1" thickTop="1" thickBot="1">
      <c r="A399" s="189">
        <f t="shared" si="37"/>
        <v>315</v>
      </c>
      <c r="B399" s="189" t="str">
        <f t="shared" si="38"/>
        <v>531-14</v>
      </c>
      <c r="C399" s="189" t="str">
        <f t="shared" si="39"/>
        <v>Industrial</v>
      </c>
      <c r="D399" s="189">
        <f t="shared" si="40"/>
        <v>0</v>
      </c>
      <c r="E399" s="209">
        <f>'concentrado nocturno'!AC69</f>
        <v>0</v>
      </c>
      <c r="F399" s="209">
        <f>'concentrado nocturno'!AD69</f>
        <v>0</v>
      </c>
      <c r="G399" s="209">
        <f>'concentrado nocturno'!AE69</f>
        <v>0</v>
      </c>
      <c r="H399" s="209">
        <f>'concentrado nocturno'!AF69</f>
        <v>2390</v>
      </c>
      <c r="I399" s="209" t="str">
        <f>'concentrado nocturno'!AG69</f>
        <v>A182</v>
      </c>
      <c r="J399" s="209" t="str">
        <f>'concentrado nocturno'!AH69</f>
        <v>1567 S 001</v>
      </c>
    </row>
    <row r="400" spans="1:12" ht="39.950000000000003" customHeight="1" thickTop="1" thickBot="1">
      <c r="A400" s="189">
        <f t="shared" si="37"/>
        <v>316</v>
      </c>
      <c r="B400" s="189" t="str">
        <f t="shared" si="38"/>
        <v>231-14</v>
      </c>
      <c r="C400" s="189" t="str">
        <f t="shared" si="39"/>
        <v>FINANZAS</v>
      </c>
      <c r="D400" s="189">
        <f t="shared" si="40"/>
        <v>0</v>
      </c>
      <c r="E400" s="209">
        <f>'concentrado nocturno'!AC70</f>
        <v>0</v>
      </c>
      <c r="F400" s="209">
        <f>'concentrado nocturno'!AD70</f>
        <v>0</v>
      </c>
      <c r="G400" s="209">
        <f>'concentrado nocturno'!AE70</f>
        <v>0</v>
      </c>
      <c r="H400" s="209" t="str">
        <f>'concentrado nocturno'!AF70</f>
        <v>A99 S009</v>
      </c>
      <c r="I400" s="209" t="str">
        <f>'concentrado nocturno'!AG70</f>
        <v>A228</v>
      </c>
      <c r="J400" s="209" t="str">
        <f>'concentrado nocturno'!AH70</f>
        <v>1836 211</v>
      </c>
    </row>
    <row r="401" spans="1:10" ht="39.950000000000003" customHeight="1" thickTop="1">
      <c r="A401" s="189">
        <f t="shared" si="37"/>
        <v>0</v>
      </c>
      <c r="B401" s="189">
        <f t="shared" si="38"/>
        <v>0</v>
      </c>
      <c r="C401" s="189">
        <f t="shared" si="39"/>
        <v>0</v>
      </c>
      <c r="D401" s="189">
        <f t="shared" si="40"/>
        <v>0</v>
      </c>
      <c r="E401" s="209">
        <f>'concentrado nocturno'!AC71</f>
        <v>0</v>
      </c>
      <c r="F401" s="209">
        <f>'concentrado nocturno'!AD71</f>
        <v>0</v>
      </c>
      <c r="G401" s="209">
        <f>'concentrado nocturno'!AE71</f>
        <v>0</v>
      </c>
      <c r="H401" s="209">
        <f>'concentrado nocturno'!AF71</f>
        <v>0</v>
      </c>
      <c r="I401" s="209">
        <f>'concentrado nocturno'!AG71</f>
        <v>0</v>
      </c>
      <c r="J401" s="209">
        <f>'concentrado nocturno'!AH71</f>
        <v>0</v>
      </c>
    </row>
    <row r="402" spans="1:10" ht="39.950000000000003" customHeight="1" thickBot="1">
      <c r="A402" s="233"/>
      <c r="B402" s="234">
        <f t="shared" ref="B402:D402" si="41">B323</f>
        <v>0</v>
      </c>
      <c r="C402" s="234">
        <f t="shared" si="41"/>
        <v>0</v>
      </c>
      <c r="D402" s="235">
        <f t="shared" si="41"/>
        <v>0</v>
      </c>
      <c r="E402" s="229">
        <f>'concentrado nocturno'!AC72</f>
        <v>0</v>
      </c>
      <c r="F402" s="230">
        <f>'concentrado nocturno'!AD72</f>
        <v>0</v>
      </c>
      <c r="G402" s="230">
        <f>'concentrado nocturno'!AE72</f>
        <v>0</v>
      </c>
      <c r="H402" s="230">
        <f>'concentrado nocturno'!AF72</f>
        <v>0</v>
      </c>
      <c r="I402" s="230">
        <f>'concentrado nocturno'!AG72</f>
        <v>0</v>
      </c>
      <c r="J402" s="232">
        <f>'concentrado nocturno'!AH72</f>
        <v>0</v>
      </c>
    </row>
  </sheetData>
  <mergeCells count="81">
    <mergeCell ref="A1:J1"/>
    <mergeCell ref="A2:J2"/>
    <mergeCell ref="A3:C3"/>
    <mergeCell ref="D3:F3"/>
    <mergeCell ref="G3:J3"/>
    <mergeCell ref="A28:J28"/>
    <mergeCell ref="A29:J29"/>
    <mergeCell ref="A30:C30"/>
    <mergeCell ref="D30:F30"/>
    <mergeCell ref="G30:J30"/>
    <mergeCell ref="A57:J57"/>
    <mergeCell ref="A58:J58"/>
    <mergeCell ref="A59:C59"/>
    <mergeCell ref="D59:F59"/>
    <mergeCell ref="G59:J59"/>
    <mergeCell ref="A82:J82"/>
    <mergeCell ref="A83:J83"/>
    <mergeCell ref="A84:C84"/>
    <mergeCell ref="D84:F84"/>
    <mergeCell ref="G84:J84"/>
    <mergeCell ref="A108:H108"/>
    <mergeCell ref="A109:J109"/>
    <mergeCell ref="A110:J110"/>
    <mergeCell ref="A111:C111"/>
    <mergeCell ref="D111:F111"/>
    <mergeCell ref="G111:J111"/>
    <mergeCell ref="A137:J137"/>
    <mergeCell ref="A138:J138"/>
    <mergeCell ref="A139:C139"/>
    <mergeCell ref="D139:F139"/>
    <mergeCell ref="G139:J139"/>
    <mergeCell ref="A161:J161"/>
    <mergeCell ref="A162:J162"/>
    <mergeCell ref="A163:C163"/>
    <mergeCell ref="D163:F163"/>
    <mergeCell ref="G163:J163"/>
    <mergeCell ref="A188:J188"/>
    <mergeCell ref="A189:J189"/>
    <mergeCell ref="A190:C190"/>
    <mergeCell ref="D190:F190"/>
    <mergeCell ref="G190:J190"/>
    <mergeCell ref="A217:J217"/>
    <mergeCell ref="A218:J218"/>
    <mergeCell ref="A219:C219"/>
    <mergeCell ref="D219:F219"/>
    <mergeCell ref="G219:J219"/>
    <mergeCell ref="A242:J242"/>
    <mergeCell ref="A243:J243"/>
    <mergeCell ref="A244:C244"/>
    <mergeCell ref="D244:F244"/>
    <mergeCell ref="G244:J244"/>
    <mergeCell ref="A268:H268"/>
    <mergeCell ref="A269:J269"/>
    <mergeCell ref="A270:J270"/>
    <mergeCell ref="A271:C271"/>
    <mergeCell ref="D271:F271"/>
    <mergeCell ref="G271:J271"/>
    <mergeCell ref="A298:H298"/>
    <mergeCell ref="A299:J299"/>
    <mergeCell ref="A300:J300"/>
    <mergeCell ref="A301:C301"/>
    <mergeCell ref="D301:F301"/>
    <mergeCell ref="G301:J301"/>
    <mergeCell ref="A322:H322"/>
    <mergeCell ref="A323:J323"/>
    <mergeCell ref="A324:J324"/>
    <mergeCell ref="A325:C325"/>
    <mergeCell ref="D325:F325"/>
    <mergeCell ref="G325:J325"/>
    <mergeCell ref="A349:H349"/>
    <mergeCell ref="A350:J350"/>
    <mergeCell ref="A351:J351"/>
    <mergeCell ref="A352:C352"/>
    <mergeCell ref="D352:F352"/>
    <mergeCell ref="G352:J352"/>
    <mergeCell ref="A378:H378"/>
    <mergeCell ref="A379:J379"/>
    <mergeCell ref="A380:J380"/>
    <mergeCell ref="A381:C381"/>
    <mergeCell ref="D381:F381"/>
    <mergeCell ref="G381:J381"/>
  </mergeCells>
  <conditionalFormatting sqref="A113:D136 A165:J187 E192:J215 A273:J297">
    <cfRule type="cellIs" dxfId="918" priority="9" operator="equal">
      <formula>0</formula>
    </cfRule>
  </conditionalFormatting>
  <conditionalFormatting sqref="A327:J348">
    <cfRule type="cellIs" dxfId="917" priority="8" operator="equal">
      <formula>0</formula>
    </cfRule>
  </conditionalFormatting>
  <conditionalFormatting sqref="B4:H4 A5:J26 A27:H27 B80:H81 A86:J107 B160:H160 E216:I216 E221:J239 E246:J267 E303:J321 B322:H322 E383:J402 B403:H1048576">
    <cfRule type="cellIs" dxfId="916" priority="10" operator="equal">
      <formula>0</formula>
    </cfRule>
  </conditionalFormatting>
  <conditionalFormatting sqref="B240:H240">
    <cfRule type="cellIs" dxfId="915" priority="7" operator="equal">
      <formula>0</formula>
    </cfRule>
  </conditionalFormatting>
  <conditionalFormatting sqref="E141:J159">
    <cfRule type="cellIs" dxfId="914" priority="1" operator="equal">
      <formula>0</formula>
    </cfRule>
  </conditionalFormatting>
  <printOptions horizontalCentered="1" verticalCentered="1"/>
  <pageMargins left="0.23622047244094499" right="0.23622047244094499" top="0.74803149606299202" bottom="0.74803149606299202" header="0.31496062992126" footer="0.31496062992126"/>
  <pageSetup scale="52" fitToHeight="0" orientation="portrait" r:id="rId1"/>
  <rowBreaks count="14" manualBreakCount="14">
    <brk id="27" max="16383" man="1"/>
    <brk id="56" max="16383" man="1"/>
    <brk id="81" max="16383" man="1"/>
    <brk id="107" max="16383" man="1"/>
    <brk id="136" max="16383" man="1"/>
    <brk id="160" max="16383" man="1"/>
    <brk id="187" max="16383" man="1"/>
    <brk id="216" max="16383" man="1"/>
    <brk id="241" max="16383" man="1"/>
    <brk id="267" max="16383" man="1"/>
    <brk id="297" max="16383" man="1"/>
    <brk id="321" max="16383" man="1"/>
    <brk id="348" max="16383" man="1"/>
    <brk id="377" max="16383" man="1"/>
  </rowBreaks>
  <colBreaks count="1" manualBreakCount="1">
    <brk id="11" max="39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XDT319"/>
  <sheetViews>
    <sheetView tabSelected="1" view="pageBreakPreview" zoomScale="90" zoomScaleNormal="100" zoomScaleSheetLayoutView="90" workbookViewId="0">
      <pane xSplit="11" ySplit="10" topLeftCell="O11" activePane="bottomRight" state="frozen"/>
      <selection pane="topRight"/>
      <selection pane="bottomLeft"/>
      <selection pane="bottomRight" activeCell="T14" sqref="T14"/>
    </sheetView>
  </sheetViews>
  <sheetFormatPr baseColWidth="10" defaultColWidth="12.5703125" defaultRowHeight="15"/>
  <cols>
    <col min="1" max="1" width="11.28515625" style="5" customWidth="1"/>
    <col min="2" max="2" width="13.28515625" customWidth="1"/>
    <col min="3" max="3" width="14.28515625" style="5" customWidth="1"/>
    <col min="4" max="4" width="8" customWidth="1"/>
    <col min="5" max="6" width="7.7109375" style="5" customWidth="1"/>
    <col min="7" max="9" width="7.7109375" customWidth="1"/>
    <col min="10" max="10" width="7.7109375" style="49" customWidth="1"/>
    <col min="11" max="15" width="7.7109375" customWidth="1"/>
    <col min="16" max="16" width="7.7109375" style="49" customWidth="1"/>
    <col min="17" max="21" width="7.7109375" customWidth="1"/>
    <col min="22" max="22" width="7.7109375" style="49" customWidth="1"/>
    <col min="23" max="27" width="7.7109375" customWidth="1"/>
    <col min="28" max="28" width="7.7109375" style="50" customWidth="1"/>
    <col min="29" max="32" width="7.7109375" customWidth="1"/>
    <col min="33" max="33" width="8.5703125" customWidth="1"/>
    <col min="34" max="34" width="7.7109375" style="49" customWidth="1"/>
    <col min="35" max="35" width="8" customWidth="1"/>
    <col min="36" max="36" width="5.5703125" customWidth="1"/>
    <col min="37" max="37" width="7.140625" customWidth="1"/>
  </cols>
  <sheetData>
    <row r="1" spans="1:37" ht="22.5" customHeight="1">
      <c r="A1" s="408" t="s">
        <v>236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10"/>
    </row>
    <row r="2" spans="1:37" ht="22.5" customHeight="1">
      <c r="A2" s="411" t="s">
        <v>10</v>
      </c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3"/>
    </row>
    <row r="3" spans="1:37" ht="22.5" customHeight="1">
      <c r="A3" s="414" t="s">
        <v>19</v>
      </c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2"/>
      <c r="AB3" s="412"/>
      <c r="AC3" s="412"/>
      <c r="AD3" s="412"/>
      <c r="AE3" s="412"/>
      <c r="AF3" s="412"/>
      <c r="AG3" s="412"/>
      <c r="AH3" s="412"/>
      <c r="AI3" s="413"/>
    </row>
    <row r="4" spans="1:37" ht="24" customHeight="1">
      <c r="A4" s="426" t="s">
        <v>11</v>
      </c>
      <c r="B4" s="427" t="s">
        <v>12</v>
      </c>
      <c r="C4" s="429" t="s">
        <v>13</v>
      </c>
      <c r="D4" s="431" t="s">
        <v>14</v>
      </c>
      <c r="E4" s="415" t="s">
        <v>15</v>
      </c>
      <c r="F4" s="416"/>
      <c r="G4" s="417"/>
      <c r="H4" s="417"/>
      <c r="I4" s="417"/>
      <c r="J4" s="418"/>
      <c r="K4" s="419" t="s">
        <v>16</v>
      </c>
      <c r="L4" s="420"/>
      <c r="M4" s="420"/>
      <c r="N4" s="420"/>
      <c r="O4" s="420"/>
      <c r="P4" s="421"/>
      <c r="Q4" s="422" t="s">
        <v>17</v>
      </c>
      <c r="R4" s="417"/>
      <c r="S4" s="417"/>
      <c r="T4" s="417"/>
      <c r="U4" s="417"/>
      <c r="V4" s="418"/>
      <c r="W4" s="423" t="s">
        <v>18</v>
      </c>
      <c r="X4" s="424"/>
      <c r="Y4" s="424"/>
      <c r="Z4" s="424"/>
      <c r="AA4" s="424"/>
      <c r="AB4" s="425"/>
      <c r="AC4" s="422" t="s">
        <v>186</v>
      </c>
      <c r="AD4" s="416"/>
      <c r="AE4" s="417"/>
      <c r="AF4" s="417"/>
      <c r="AG4" s="417"/>
      <c r="AH4" s="418"/>
      <c r="AI4" s="433" t="s">
        <v>11</v>
      </c>
    </row>
    <row r="5" spans="1:37" ht="24" customHeight="1">
      <c r="A5" s="426"/>
      <c r="B5" s="428"/>
      <c r="C5" s="430"/>
      <c r="D5" s="432"/>
      <c r="E5" s="51" t="s">
        <v>20</v>
      </c>
      <c r="F5" s="52" t="s">
        <v>21</v>
      </c>
      <c r="G5" s="53" t="s">
        <v>22</v>
      </c>
      <c r="H5" s="53" t="s">
        <v>23</v>
      </c>
      <c r="I5" s="53" t="s">
        <v>24</v>
      </c>
      <c r="J5" s="121" t="s">
        <v>25</v>
      </c>
      <c r="K5" s="265" t="s">
        <v>20</v>
      </c>
      <c r="L5" s="266" t="s">
        <v>21</v>
      </c>
      <c r="M5" s="266" t="s">
        <v>22</v>
      </c>
      <c r="N5" s="266" t="s">
        <v>23</v>
      </c>
      <c r="O5" s="266" t="s">
        <v>24</v>
      </c>
      <c r="P5" s="267" t="s">
        <v>25</v>
      </c>
      <c r="Q5" s="122" t="s">
        <v>20</v>
      </c>
      <c r="R5" s="53" t="s">
        <v>21</v>
      </c>
      <c r="S5" s="53" t="s">
        <v>22</v>
      </c>
      <c r="T5" s="53" t="s">
        <v>23</v>
      </c>
      <c r="U5" s="53" t="s">
        <v>24</v>
      </c>
      <c r="V5" s="121" t="s">
        <v>25</v>
      </c>
      <c r="W5" s="302" t="s">
        <v>20</v>
      </c>
      <c r="X5" s="303" t="s">
        <v>21</v>
      </c>
      <c r="Y5" s="303" t="s">
        <v>22</v>
      </c>
      <c r="Z5" s="303" t="s">
        <v>23</v>
      </c>
      <c r="AA5" s="303" t="s">
        <v>24</v>
      </c>
      <c r="AB5" s="304" t="s">
        <v>25</v>
      </c>
      <c r="AC5" s="122" t="s">
        <v>20</v>
      </c>
      <c r="AD5" s="52" t="s">
        <v>21</v>
      </c>
      <c r="AE5" s="53" t="s">
        <v>22</v>
      </c>
      <c r="AF5" s="53" t="s">
        <v>23</v>
      </c>
      <c r="AG5" s="53" t="s">
        <v>24</v>
      </c>
      <c r="AH5" s="121" t="s">
        <v>25</v>
      </c>
      <c r="AI5" s="434"/>
    </row>
    <row r="6" spans="1:37" ht="24.95" customHeight="1">
      <c r="A6" s="54" t="s">
        <v>26</v>
      </c>
      <c r="B6" s="55"/>
      <c r="C6" s="56"/>
      <c r="D6" s="57"/>
      <c r="E6" s="62">
        <v>390</v>
      </c>
      <c r="F6" s="63">
        <v>390</v>
      </c>
      <c r="G6" s="59">
        <v>2387</v>
      </c>
      <c r="H6" s="59">
        <v>2387</v>
      </c>
      <c r="J6" s="123"/>
      <c r="K6" s="268">
        <v>1094</v>
      </c>
      <c r="L6" s="269">
        <v>1094</v>
      </c>
      <c r="M6" s="269"/>
      <c r="N6" s="269"/>
      <c r="O6" s="269"/>
      <c r="P6" s="270">
        <v>634</v>
      </c>
      <c r="Q6" s="124"/>
      <c r="R6" s="59"/>
      <c r="S6" s="59">
        <v>2130</v>
      </c>
      <c r="T6" s="59">
        <v>2130</v>
      </c>
      <c r="U6" s="59"/>
      <c r="V6" s="123"/>
      <c r="W6" s="305"/>
      <c r="X6" s="306">
        <v>1094</v>
      </c>
      <c r="Y6" s="306"/>
      <c r="Z6" s="306"/>
      <c r="AA6" s="306"/>
      <c r="AB6" s="307"/>
      <c r="AC6" s="124"/>
      <c r="AD6" s="56"/>
      <c r="AE6" s="59"/>
      <c r="AF6" s="59">
        <v>1228</v>
      </c>
      <c r="AG6" s="59">
        <v>1228</v>
      </c>
      <c r="AH6" s="123"/>
      <c r="AI6" s="146" t="str">
        <f>+A6</f>
        <v>CC1</v>
      </c>
    </row>
    <row r="7" spans="1:37" ht="24" customHeight="1">
      <c r="A7" s="54" t="s">
        <v>27</v>
      </c>
      <c r="B7" s="60"/>
      <c r="C7" s="61"/>
      <c r="D7" s="54"/>
      <c r="E7" s="62"/>
      <c r="G7" s="64" t="s">
        <v>28</v>
      </c>
      <c r="H7" s="64" t="s">
        <v>28</v>
      </c>
      <c r="I7" s="64">
        <v>634</v>
      </c>
      <c r="J7" s="125"/>
      <c r="K7" s="271"/>
      <c r="L7" s="272">
        <v>1035</v>
      </c>
      <c r="M7" s="272">
        <v>1035</v>
      </c>
      <c r="N7" s="272"/>
      <c r="O7" s="272"/>
      <c r="P7" s="273"/>
      <c r="Q7" s="126">
        <v>634</v>
      </c>
      <c r="R7" s="64">
        <v>634</v>
      </c>
      <c r="S7" s="64">
        <v>634</v>
      </c>
      <c r="T7" s="64">
        <v>1517</v>
      </c>
      <c r="U7" s="64">
        <v>634</v>
      </c>
      <c r="V7" s="125">
        <v>634</v>
      </c>
      <c r="W7" s="308">
        <v>634</v>
      </c>
      <c r="X7" s="309"/>
      <c r="Y7" s="309">
        <v>1534</v>
      </c>
      <c r="Z7" s="309" t="s">
        <v>29</v>
      </c>
      <c r="AA7" s="309" t="s">
        <v>29</v>
      </c>
      <c r="AB7" s="310"/>
      <c r="AC7" s="126"/>
      <c r="AD7" s="63" t="s">
        <v>31</v>
      </c>
      <c r="AE7" s="259" t="s">
        <v>75</v>
      </c>
      <c r="AF7" s="64" t="s">
        <v>28</v>
      </c>
      <c r="AG7" s="64"/>
      <c r="AH7" s="125"/>
      <c r="AI7" s="146" t="str">
        <f t="shared" ref="AI7:AI13" si="0">A7</f>
        <v>CC2</v>
      </c>
    </row>
    <row r="8" spans="1:37" ht="24" customHeight="1">
      <c r="A8" s="65" t="s">
        <v>30</v>
      </c>
      <c r="B8" s="60"/>
      <c r="C8" s="63"/>
      <c r="D8" s="54"/>
      <c r="E8" s="58">
        <v>1228</v>
      </c>
      <c r="F8" s="56">
        <v>1228</v>
      </c>
      <c r="G8" s="59">
        <v>335</v>
      </c>
      <c r="H8" s="384">
        <v>335</v>
      </c>
      <c r="I8" s="59">
        <v>335</v>
      </c>
      <c r="J8" s="125"/>
      <c r="K8" s="271"/>
      <c r="L8" s="272">
        <v>2387</v>
      </c>
      <c r="M8" s="272"/>
      <c r="N8" s="272"/>
      <c r="O8" s="272"/>
      <c r="P8" s="273"/>
      <c r="Q8" s="126"/>
      <c r="R8" s="64" t="s">
        <v>31</v>
      </c>
      <c r="S8" s="64" t="s">
        <v>31</v>
      </c>
      <c r="T8" s="64">
        <v>1035</v>
      </c>
      <c r="U8" s="64">
        <v>1836</v>
      </c>
      <c r="V8" s="125">
        <v>1836</v>
      </c>
      <c r="W8" s="308"/>
      <c r="X8" s="309" t="s">
        <v>32</v>
      </c>
      <c r="Y8" s="309"/>
      <c r="Z8" s="261" t="s">
        <v>137</v>
      </c>
      <c r="AA8" s="309"/>
      <c r="AB8" s="310"/>
      <c r="AC8" s="126">
        <v>1228</v>
      </c>
      <c r="AD8" s="63"/>
      <c r="AE8" s="64"/>
      <c r="AF8" s="64"/>
      <c r="AG8" s="64"/>
      <c r="AH8" s="125"/>
      <c r="AI8" s="146" t="str">
        <f t="shared" si="0"/>
        <v>CC3</v>
      </c>
    </row>
    <row r="9" spans="1:37" ht="24" customHeight="1">
      <c r="A9" s="65" t="s">
        <v>33</v>
      </c>
      <c r="B9" s="55"/>
      <c r="C9" s="56"/>
      <c r="D9" s="57"/>
      <c r="G9" s="59">
        <v>436</v>
      </c>
      <c r="I9" s="59" t="s">
        <v>34</v>
      </c>
      <c r="J9" s="123"/>
      <c r="K9" s="268"/>
      <c r="L9" s="269"/>
      <c r="M9" s="269">
        <v>1534</v>
      </c>
      <c r="N9" s="269">
        <v>2448</v>
      </c>
      <c r="O9" s="269">
        <v>2448</v>
      </c>
      <c r="P9" s="270"/>
      <c r="Q9" s="124">
        <v>1228</v>
      </c>
      <c r="R9" s="59"/>
      <c r="S9" s="59" t="s">
        <v>137</v>
      </c>
      <c r="T9" s="59">
        <v>2448</v>
      </c>
      <c r="U9" s="59">
        <v>1517</v>
      </c>
      <c r="V9" s="123"/>
      <c r="W9" s="305">
        <v>390</v>
      </c>
      <c r="X9" s="306"/>
      <c r="Y9" s="306"/>
      <c r="Z9" s="306">
        <v>2448</v>
      </c>
      <c r="AA9" s="306">
        <v>634</v>
      </c>
      <c r="AB9" s="307">
        <v>634</v>
      </c>
      <c r="AC9" s="124" t="s">
        <v>28</v>
      </c>
      <c r="AD9" s="56" t="s">
        <v>28</v>
      </c>
      <c r="AE9" s="59"/>
      <c r="AF9" s="59">
        <v>2448</v>
      </c>
      <c r="AG9" s="59">
        <v>2448</v>
      </c>
      <c r="AH9" s="123"/>
      <c r="AI9" s="146" t="str">
        <f t="shared" si="0"/>
        <v>CC4</v>
      </c>
    </row>
    <row r="10" spans="1:37" ht="24" customHeight="1">
      <c r="A10" s="65" t="s">
        <v>36</v>
      </c>
      <c r="B10" s="60"/>
      <c r="C10" s="61"/>
      <c r="D10" s="54"/>
      <c r="E10" s="62"/>
      <c r="F10" s="63">
        <v>1035</v>
      </c>
      <c r="G10" s="59">
        <v>1228</v>
      </c>
      <c r="H10" s="64">
        <v>1228</v>
      </c>
      <c r="I10" s="64">
        <v>1836</v>
      </c>
      <c r="J10" s="125"/>
      <c r="K10" s="271">
        <v>436</v>
      </c>
      <c r="L10" s="272"/>
      <c r="M10" s="272"/>
      <c r="N10" s="272"/>
      <c r="O10" s="272">
        <v>1836</v>
      </c>
      <c r="P10" s="273">
        <v>1836</v>
      </c>
      <c r="Q10" s="126"/>
      <c r="R10" s="64"/>
      <c r="S10" s="64"/>
      <c r="T10" s="64"/>
      <c r="U10" s="64"/>
      <c r="V10" s="125"/>
      <c r="W10" s="308"/>
      <c r="X10" s="309"/>
      <c r="Y10" s="309"/>
      <c r="Z10" s="309" t="s">
        <v>32</v>
      </c>
      <c r="AA10" s="272" t="s">
        <v>32</v>
      </c>
      <c r="AB10" s="310"/>
      <c r="AC10" s="126"/>
      <c r="AD10" s="63"/>
      <c r="AE10" s="64">
        <v>634</v>
      </c>
      <c r="AF10" s="259" t="s">
        <v>74</v>
      </c>
      <c r="AG10" s="64"/>
      <c r="AH10" s="125"/>
      <c r="AI10" s="146" t="str">
        <f t="shared" si="0"/>
        <v>CC5</v>
      </c>
      <c r="AJ10" s="147"/>
      <c r="AK10" s="148"/>
    </row>
    <row r="11" spans="1:37" ht="24" customHeight="1">
      <c r="A11" s="241">
        <v>1</v>
      </c>
      <c r="B11" s="66" t="s">
        <v>37</v>
      </c>
      <c r="C11" s="61" t="s">
        <v>38</v>
      </c>
      <c r="D11" s="67" t="s">
        <v>39</v>
      </c>
      <c r="E11" s="62"/>
      <c r="F11" s="63">
        <v>2396</v>
      </c>
      <c r="G11" s="64">
        <v>2396</v>
      </c>
      <c r="H11" s="64">
        <v>1246</v>
      </c>
      <c r="I11" s="64"/>
      <c r="J11" s="127"/>
      <c r="K11" s="271">
        <v>1567</v>
      </c>
      <c r="L11" s="272" t="s">
        <v>40</v>
      </c>
      <c r="M11" s="272" t="s">
        <v>40</v>
      </c>
      <c r="N11" s="272">
        <v>2336</v>
      </c>
      <c r="O11" s="272">
        <v>2336</v>
      </c>
      <c r="P11" s="273"/>
      <c r="Q11" s="126"/>
      <c r="R11" s="64">
        <v>2396</v>
      </c>
      <c r="S11" s="64" t="s">
        <v>41</v>
      </c>
      <c r="T11" s="64">
        <v>2223</v>
      </c>
      <c r="U11" s="64">
        <v>2223</v>
      </c>
      <c r="V11" s="127"/>
      <c r="W11" s="308" t="s">
        <v>42</v>
      </c>
      <c r="X11" s="309" t="s">
        <v>40</v>
      </c>
      <c r="Y11" s="309" t="s">
        <v>40</v>
      </c>
      <c r="Z11" s="309">
        <v>2336</v>
      </c>
      <c r="AA11" s="309">
        <v>2336</v>
      </c>
      <c r="AB11" s="311"/>
      <c r="AC11" s="126">
        <v>2396</v>
      </c>
      <c r="AD11" s="63" t="s">
        <v>41</v>
      </c>
      <c r="AE11" s="64" t="s">
        <v>41</v>
      </c>
      <c r="AF11" s="64">
        <v>2223</v>
      </c>
      <c r="AG11" s="64">
        <v>2223</v>
      </c>
      <c r="AH11" s="123">
        <v>1567</v>
      </c>
      <c r="AI11" s="146">
        <f t="shared" si="0"/>
        <v>1</v>
      </c>
    </row>
    <row r="12" spans="1:37" ht="24" customHeight="1">
      <c r="A12" s="242">
        <v>2</v>
      </c>
      <c r="B12" s="68" t="s">
        <v>43</v>
      </c>
      <c r="C12" s="63" t="s">
        <v>38</v>
      </c>
      <c r="D12" s="54"/>
      <c r="E12" s="62">
        <v>2325</v>
      </c>
      <c r="F12" s="63">
        <v>1456</v>
      </c>
      <c r="G12" s="54" t="s">
        <v>44</v>
      </c>
      <c r="H12" s="62">
        <v>2206</v>
      </c>
      <c r="I12" s="64" t="s">
        <v>45</v>
      </c>
      <c r="J12" s="125"/>
      <c r="K12" s="271">
        <v>2396</v>
      </c>
      <c r="L12" s="272">
        <v>2468</v>
      </c>
      <c r="M12" s="274">
        <v>2468</v>
      </c>
      <c r="N12" s="275">
        <v>382</v>
      </c>
      <c r="O12" s="272">
        <v>634</v>
      </c>
      <c r="P12" s="273"/>
      <c r="Q12" s="126">
        <v>2325</v>
      </c>
      <c r="R12" s="64" t="s">
        <v>44</v>
      </c>
      <c r="S12" s="54">
        <v>2396</v>
      </c>
      <c r="T12" s="62">
        <v>382</v>
      </c>
      <c r="U12" s="64" t="s">
        <v>45</v>
      </c>
      <c r="V12" s="125"/>
      <c r="W12" s="308" t="s">
        <v>45</v>
      </c>
      <c r="X12" s="309">
        <v>2468</v>
      </c>
      <c r="Y12" s="312">
        <v>2468</v>
      </c>
      <c r="Z12" s="313">
        <v>1456</v>
      </c>
      <c r="AA12" s="309">
        <v>2206</v>
      </c>
      <c r="AB12" s="310"/>
      <c r="AC12" s="126"/>
      <c r="AD12" s="63">
        <v>2206</v>
      </c>
      <c r="AE12" s="54">
        <v>2206</v>
      </c>
      <c r="AF12" s="62" t="s">
        <v>44</v>
      </c>
      <c r="AG12" s="64">
        <v>2396</v>
      </c>
      <c r="AH12" s="125"/>
      <c r="AI12" s="146">
        <f t="shared" si="0"/>
        <v>2</v>
      </c>
      <c r="AJ12" s="148"/>
      <c r="AK12" s="148"/>
    </row>
    <row r="13" spans="1:37" ht="24" customHeight="1">
      <c r="A13" s="241">
        <v>2</v>
      </c>
      <c r="B13" s="66" t="s">
        <v>37</v>
      </c>
      <c r="C13" s="61" t="s">
        <v>46</v>
      </c>
      <c r="D13" s="69"/>
      <c r="E13" s="62" t="s">
        <v>47</v>
      </c>
      <c r="F13" s="63" t="s">
        <v>47</v>
      </c>
      <c r="G13" s="64" t="s">
        <v>48</v>
      </c>
      <c r="H13" s="64"/>
      <c r="I13" s="64"/>
      <c r="J13" s="127"/>
      <c r="K13" s="271" t="s">
        <v>48</v>
      </c>
      <c r="L13" s="272"/>
      <c r="M13" s="272"/>
      <c r="N13" s="272"/>
      <c r="O13" s="272"/>
      <c r="P13" s="273" t="s">
        <v>49</v>
      </c>
      <c r="Q13" s="126">
        <v>436</v>
      </c>
      <c r="R13" s="64">
        <v>436</v>
      </c>
      <c r="S13" s="64" t="s">
        <v>28</v>
      </c>
      <c r="T13" s="64"/>
      <c r="U13" s="64"/>
      <c r="V13" s="134"/>
      <c r="W13" s="308" t="s">
        <v>217</v>
      </c>
      <c r="X13" s="309"/>
      <c r="Y13" s="309"/>
      <c r="Z13" s="309"/>
      <c r="AA13" s="309"/>
      <c r="AB13" s="311"/>
      <c r="AC13" s="126" t="s">
        <v>50</v>
      </c>
      <c r="AD13" s="63" t="s">
        <v>50</v>
      </c>
      <c r="AE13" s="64" t="s">
        <v>226</v>
      </c>
      <c r="AF13" s="64" t="s">
        <v>52</v>
      </c>
      <c r="AG13" s="64" t="s">
        <v>52</v>
      </c>
      <c r="AH13" s="127"/>
      <c r="AI13" s="146">
        <f t="shared" si="0"/>
        <v>2</v>
      </c>
      <c r="AJ13" s="149"/>
    </row>
    <row r="14" spans="1:37" ht="24" customHeight="1">
      <c r="A14" s="241">
        <v>3</v>
      </c>
      <c r="B14" s="60" t="s">
        <v>53</v>
      </c>
      <c r="C14" s="61" t="s">
        <v>38</v>
      </c>
      <c r="D14" s="69" t="s">
        <v>54</v>
      </c>
      <c r="E14" s="62" t="s">
        <v>55</v>
      </c>
      <c r="F14" s="63" t="s">
        <v>55</v>
      </c>
      <c r="G14" s="64" t="s">
        <v>56</v>
      </c>
      <c r="H14" s="64"/>
      <c r="I14" s="64"/>
      <c r="J14" s="127"/>
      <c r="K14" s="271">
        <v>2325</v>
      </c>
      <c r="L14" s="272">
        <v>2396</v>
      </c>
      <c r="M14" s="272">
        <v>1602</v>
      </c>
      <c r="N14" s="272">
        <v>1435</v>
      </c>
      <c r="O14" s="272">
        <v>1435</v>
      </c>
      <c r="P14" s="273"/>
      <c r="Q14" s="126">
        <v>2396</v>
      </c>
      <c r="R14" s="64" t="s">
        <v>55</v>
      </c>
      <c r="S14" s="64" t="s">
        <v>55</v>
      </c>
      <c r="T14" s="64"/>
      <c r="U14" s="64"/>
      <c r="V14" s="127"/>
      <c r="W14" s="308">
        <v>2325</v>
      </c>
      <c r="X14" s="309">
        <v>1602</v>
      </c>
      <c r="Y14" s="309" t="s">
        <v>56</v>
      </c>
      <c r="Z14" s="309">
        <v>1435</v>
      </c>
      <c r="AA14" s="309">
        <v>1435</v>
      </c>
      <c r="AB14" s="311" t="s">
        <v>49</v>
      </c>
      <c r="AC14" s="126">
        <v>1602</v>
      </c>
      <c r="AD14" s="63" t="s">
        <v>57</v>
      </c>
      <c r="AE14" s="64">
        <v>2396</v>
      </c>
      <c r="AF14" s="64"/>
      <c r="AG14" s="64"/>
      <c r="AH14" s="127"/>
      <c r="AI14" s="146">
        <f t="shared" ref="AI14:AI16" si="1">A14</f>
        <v>3</v>
      </c>
      <c r="AJ14" s="149"/>
    </row>
    <row r="15" spans="1:37" ht="24" customHeight="1">
      <c r="A15" s="241">
        <v>3</v>
      </c>
      <c r="B15" s="70" t="s">
        <v>58</v>
      </c>
      <c r="C15" s="61" t="s">
        <v>38</v>
      </c>
      <c r="D15" s="69"/>
      <c r="E15" s="62"/>
      <c r="F15" s="63"/>
      <c r="G15" s="64"/>
      <c r="H15" s="64">
        <v>2396</v>
      </c>
      <c r="I15" s="64">
        <v>2326</v>
      </c>
      <c r="J15" s="127">
        <v>2326</v>
      </c>
      <c r="K15" s="271"/>
      <c r="L15" s="272"/>
      <c r="M15" s="272"/>
      <c r="N15" s="272"/>
      <c r="O15" s="272"/>
      <c r="P15" s="273"/>
      <c r="Q15" s="126"/>
      <c r="R15" s="64"/>
      <c r="S15" s="64"/>
      <c r="T15" s="64">
        <v>2396</v>
      </c>
      <c r="U15" s="64">
        <v>2396</v>
      </c>
      <c r="V15" s="127" t="s">
        <v>44</v>
      </c>
      <c r="W15" s="308"/>
      <c r="X15" s="309"/>
      <c r="Y15" s="309"/>
      <c r="Z15" s="309"/>
      <c r="AA15" s="309"/>
      <c r="AB15" s="311"/>
      <c r="AC15" s="126"/>
      <c r="AD15" s="63"/>
      <c r="AE15" s="64"/>
      <c r="AF15" s="64"/>
      <c r="AG15" s="64" t="s">
        <v>44</v>
      </c>
      <c r="AH15" s="127"/>
      <c r="AI15" s="146">
        <f t="shared" si="1"/>
        <v>3</v>
      </c>
      <c r="AJ15" s="149"/>
    </row>
    <row r="16" spans="1:37" ht="24" customHeight="1">
      <c r="A16" s="241">
        <v>4</v>
      </c>
      <c r="B16" s="66" t="s">
        <v>59</v>
      </c>
      <c r="C16" s="61" t="s">
        <v>60</v>
      </c>
      <c r="D16" s="69"/>
      <c r="E16" s="62" t="s">
        <v>61</v>
      </c>
      <c r="F16" s="63" t="s">
        <v>61</v>
      </c>
      <c r="G16" s="54" t="s">
        <v>61</v>
      </c>
      <c r="H16" s="62">
        <v>2543</v>
      </c>
      <c r="I16" s="64" t="s">
        <v>31</v>
      </c>
      <c r="J16" s="125">
        <v>1836</v>
      </c>
      <c r="K16" s="271"/>
      <c r="L16" s="272"/>
      <c r="M16" s="274"/>
      <c r="N16" s="275" t="s">
        <v>213</v>
      </c>
      <c r="O16" s="272" t="s">
        <v>213</v>
      </c>
      <c r="P16" s="273" t="s">
        <v>62</v>
      </c>
      <c r="Q16" s="126"/>
      <c r="R16" s="64"/>
      <c r="S16" s="54"/>
      <c r="T16" s="62" t="s">
        <v>63</v>
      </c>
      <c r="U16" s="64" t="s">
        <v>31</v>
      </c>
      <c r="V16" s="125" t="s">
        <v>64</v>
      </c>
      <c r="W16" s="308"/>
      <c r="X16" s="309"/>
      <c r="Y16" s="312"/>
      <c r="Z16" s="313">
        <v>2476</v>
      </c>
      <c r="AA16" s="309">
        <v>2476</v>
      </c>
      <c r="AB16" s="310" t="s">
        <v>63</v>
      </c>
      <c r="AC16" s="126"/>
      <c r="AD16" s="63"/>
      <c r="AE16" s="54"/>
      <c r="AF16" s="62" t="s">
        <v>63</v>
      </c>
      <c r="AG16" s="64" t="s">
        <v>63</v>
      </c>
      <c r="AH16" s="125" t="s">
        <v>31</v>
      </c>
      <c r="AI16" s="146">
        <f t="shared" si="1"/>
        <v>4</v>
      </c>
      <c r="AJ16" s="149"/>
    </row>
    <row r="17" spans="1:37" ht="24" customHeight="1">
      <c r="A17" s="241">
        <v>4</v>
      </c>
      <c r="B17" s="55" t="s">
        <v>65</v>
      </c>
      <c r="C17" s="56" t="s">
        <v>38</v>
      </c>
      <c r="D17" s="57"/>
      <c r="E17" s="58">
        <v>1303</v>
      </c>
      <c r="F17" s="56">
        <v>1303</v>
      </c>
      <c r="G17" s="59" t="s">
        <v>66</v>
      </c>
      <c r="H17" s="59"/>
      <c r="I17" s="59"/>
      <c r="J17" s="123"/>
      <c r="K17" s="271" t="s">
        <v>34</v>
      </c>
      <c r="L17" s="272">
        <v>1456</v>
      </c>
      <c r="M17" s="272">
        <v>1303</v>
      </c>
      <c r="N17" s="269"/>
      <c r="O17" s="269"/>
      <c r="P17" s="270"/>
      <c r="Q17" s="124">
        <v>2517</v>
      </c>
      <c r="R17" s="59">
        <v>1846</v>
      </c>
      <c r="S17" s="59">
        <v>1846</v>
      </c>
      <c r="T17" s="59"/>
      <c r="U17" s="59"/>
      <c r="V17" s="123"/>
      <c r="W17" s="308">
        <v>2517</v>
      </c>
      <c r="X17" s="309">
        <v>1456</v>
      </c>
      <c r="Y17" s="309" t="s">
        <v>34</v>
      </c>
      <c r="Z17" s="306"/>
      <c r="AA17" s="306"/>
      <c r="AB17" s="307"/>
      <c r="AC17" s="124">
        <v>2517</v>
      </c>
      <c r="AD17" s="56">
        <v>1846</v>
      </c>
      <c r="AE17" s="59">
        <v>1846</v>
      </c>
      <c r="AF17" s="59"/>
      <c r="AG17" s="59"/>
      <c r="AH17" s="123"/>
      <c r="AI17" s="146">
        <f t="shared" ref="AI17:AI32" si="2">A17</f>
        <v>4</v>
      </c>
      <c r="AJ17" s="147"/>
      <c r="AK17" s="148"/>
    </row>
    <row r="18" spans="1:37" ht="24" customHeight="1">
      <c r="A18" s="242">
        <v>5</v>
      </c>
      <c r="B18" s="66" t="s">
        <v>67</v>
      </c>
      <c r="C18" s="61" t="s">
        <v>68</v>
      </c>
      <c r="D18" s="54" t="s">
        <v>69</v>
      </c>
      <c r="E18" s="62" t="s">
        <v>70</v>
      </c>
      <c r="F18" s="63" t="s">
        <v>70</v>
      </c>
      <c r="G18" s="64">
        <v>2306</v>
      </c>
      <c r="H18" s="64" t="s">
        <v>71</v>
      </c>
      <c r="I18" s="64" t="s">
        <v>71</v>
      </c>
      <c r="J18" s="127">
        <v>2401</v>
      </c>
      <c r="K18" s="271">
        <v>1384</v>
      </c>
      <c r="L18" s="272">
        <v>2395</v>
      </c>
      <c r="M18" s="272">
        <v>2395</v>
      </c>
      <c r="N18" s="272" t="s">
        <v>71</v>
      </c>
      <c r="O18" s="272">
        <v>2401</v>
      </c>
      <c r="P18" s="273">
        <v>2401</v>
      </c>
      <c r="Q18" s="126">
        <v>1887</v>
      </c>
      <c r="R18" s="64" t="s">
        <v>72</v>
      </c>
      <c r="S18" s="64">
        <v>1152</v>
      </c>
      <c r="T18" s="64">
        <v>2231</v>
      </c>
      <c r="U18" s="64">
        <v>2231</v>
      </c>
      <c r="V18" s="127"/>
      <c r="W18" s="308" t="s">
        <v>72</v>
      </c>
      <c r="X18" s="309">
        <v>2395</v>
      </c>
      <c r="Y18" s="309">
        <v>2395</v>
      </c>
      <c r="Z18" s="309">
        <v>2306</v>
      </c>
      <c r="AA18" s="309">
        <v>2306</v>
      </c>
      <c r="AB18" s="311"/>
      <c r="AC18" s="126">
        <v>1887</v>
      </c>
      <c r="AD18" s="63">
        <v>1887</v>
      </c>
      <c r="AE18" s="64">
        <v>1152</v>
      </c>
      <c r="AF18" s="64">
        <v>1384</v>
      </c>
      <c r="AG18" s="64">
        <v>1384</v>
      </c>
      <c r="AH18" s="127"/>
      <c r="AI18" s="146">
        <f t="shared" si="2"/>
        <v>5</v>
      </c>
      <c r="AJ18" s="148"/>
      <c r="AK18" s="148"/>
    </row>
    <row r="19" spans="1:37" ht="23.25" customHeight="1">
      <c r="A19" s="242">
        <v>7</v>
      </c>
      <c r="B19" s="71" t="s">
        <v>67</v>
      </c>
      <c r="C19" s="61" t="s">
        <v>60</v>
      </c>
      <c r="D19" s="69"/>
      <c r="E19" s="62" t="s">
        <v>73</v>
      </c>
      <c r="F19" s="63" t="s">
        <v>74</v>
      </c>
      <c r="G19" s="64" t="s">
        <v>74</v>
      </c>
      <c r="H19" s="64" t="s">
        <v>75</v>
      </c>
      <c r="I19" s="64" t="s">
        <v>75</v>
      </c>
      <c r="J19" s="127"/>
      <c r="K19" s="271" t="s">
        <v>73</v>
      </c>
      <c r="L19" s="272">
        <v>160</v>
      </c>
      <c r="M19" s="272">
        <v>160</v>
      </c>
      <c r="N19" s="272" t="s">
        <v>76</v>
      </c>
      <c r="O19" s="272" t="s">
        <v>76</v>
      </c>
      <c r="P19" s="273"/>
      <c r="Q19" s="126" t="s">
        <v>34</v>
      </c>
      <c r="R19" s="64" t="s">
        <v>74</v>
      </c>
      <c r="S19" s="64">
        <v>2040</v>
      </c>
      <c r="T19" s="64" t="s">
        <v>73</v>
      </c>
      <c r="U19" s="64" t="s">
        <v>73</v>
      </c>
      <c r="V19" s="127"/>
      <c r="W19" s="308" t="s">
        <v>34</v>
      </c>
      <c r="X19" s="309">
        <v>160</v>
      </c>
      <c r="Y19" s="309">
        <v>160</v>
      </c>
      <c r="Z19" s="309">
        <v>2040</v>
      </c>
      <c r="AA19" s="309">
        <v>2040</v>
      </c>
      <c r="AB19" s="311"/>
      <c r="AC19" s="126" t="s">
        <v>34</v>
      </c>
      <c r="AD19" s="63" t="s">
        <v>34</v>
      </c>
      <c r="AE19" s="259" t="s">
        <v>228</v>
      </c>
      <c r="AF19" s="383" t="s">
        <v>230</v>
      </c>
      <c r="AG19" s="259" t="s">
        <v>222</v>
      </c>
      <c r="AH19" s="127"/>
      <c r="AI19" s="146">
        <f t="shared" si="2"/>
        <v>7</v>
      </c>
      <c r="AJ19" s="149"/>
    </row>
    <row r="20" spans="1:37" ht="24.75" customHeight="1">
      <c r="A20" s="242">
        <v>8</v>
      </c>
      <c r="B20" s="60" t="s">
        <v>77</v>
      </c>
      <c r="C20" s="61" t="s">
        <v>78</v>
      </c>
      <c r="D20" s="54" t="s">
        <v>79</v>
      </c>
      <c r="E20" s="62" t="s">
        <v>80</v>
      </c>
      <c r="F20" s="63">
        <v>1246</v>
      </c>
      <c r="G20" s="63" t="s">
        <v>81</v>
      </c>
      <c r="H20" s="64">
        <v>2312</v>
      </c>
      <c r="I20" s="64">
        <v>2312</v>
      </c>
      <c r="J20" s="125"/>
      <c r="K20" s="271" t="s">
        <v>41</v>
      </c>
      <c r="L20" s="272" t="s">
        <v>82</v>
      </c>
      <c r="M20" s="272" t="s">
        <v>82</v>
      </c>
      <c r="N20" s="272" t="s">
        <v>81</v>
      </c>
      <c r="O20" s="272" t="s">
        <v>81</v>
      </c>
      <c r="P20" s="273"/>
      <c r="Q20" s="126" t="s">
        <v>41</v>
      </c>
      <c r="R20" s="64" t="s">
        <v>41</v>
      </c>
      <c r="S20" s="64" t="s">
        <v>83</v>
      </c>
      <c r="T20" s="64" t="s">
        <v>83</v>
      </c>
      <c r="U20" s="64">
        <v>2312</v>
      </c>
      <c r="V20" s="125"/>
      <c r="W20" s="308"/>
      <c r="X20" s="309" t="s">
        <v>82</v>
      </c>
      <c r="Y20" s="309" t="s">
        <v>82</v>
      </c>
      <c r="Z20" s="309">
        <v>1246</v>
      </c>
      <c r="AA20" s="309" t="s">
        <v>83</v>
      </c>
      <c r="AB20" s="310"/>
      <c r="AC20" s="126" t="s">
        <v>80</v>
      </c>
      <c r="AD20" s="63" t="s">
        <v>80</v>
      </c>
      <c r="AE20" s="64" t="s">
        <v>81</v>
      </c>
      <c r="AF20" s="64">
        <v>98</v>
      </c>
      <c r="AG20" s="64">
        <v>98</v>
      </c>
      <c r="AH20" s="125"/>
      <c r="AI20" s="146">
        <f t="shared" si="2"/>
        <v>8</v>
      </c>
    </row>
    <row r="21" spans="1:37" ht="24.75" customHeight="1" thickBot="1">
      <c r="A21" s="243">
        <v>9</v>
      </c>
      <c r="B21" s="73" t="s">
        <v>84</v>
      </c>
      <c r="C21" s="61" t="s">
        <v>60</v>
      </c>
      <c r="D21" s="69" t="s">
        <v>85</v>
      </c>
      <c r="E21" s="62">
        <v>1567</v>
      </c>
      <c r="F21" s="63">
        <v>2312</v>
      </c>
      <c r="G21" s="54" t="s">
        <v>31</v>
      </c>
      <c r="H21" s="62" t="s">
        <v>74</v>
      </c>
      <c r="I21" s="64" t="s">
        <v>64</v>
      </c>
      <c r="J21" s="127"/>
      <c r="K21" s="271">
        <v>1990</v>
      </c>
      <c r="L21" s="272">
        <v>2451</v>
      </c>
      <c r="M21" s="274">
        <v>2451</v>
      </c>
      <c r="N21" s="275" t="s">
        <v>34</v>
      </c>
      <c r="O21" s="272" t="s">
        <v>64</v>
      </c>
      <c r="P21" s="273"/>
      <c r="Q21" s="126"/>
      <c r="R21" s="64">
        <v>2451</v>
      </c>
      <c r="S21" s="54">
        <v>2451</v>
      </c>
      <c r="T21" s="62" t="s">
        <v>74</v>
      </c>
      <c r="U21" s="64" t="s">
        <v>62</v>
      </c>
      <c r="V21" s="127"/>
      <c r="W21" s="308">
        <v>1990</v>
      </c>
      <c r="X21" s="309">
        <v>2451</v>
      </c>
      <c r="Y21" s="312">
        <v>2451</v>
      </c>
      <c r="Z21" s="313" t="s">
        <v>74</v>
      </c>
      <c r="AA21" s="309" t="s">
        <v>34</v>
      </c>
      <c r="AB21" s="311"/>
      <c r="AC21" s="126">
        <v>1990</v>
      </c>
      <c r="AD21" s="63">
        <v>2312</v>
      </c>
      <c r="AE21" s="54" t="s">
        <v>31</v>
      </c>
      <c r="AF21" s="62" t="s">
        <v>34</v>
      </c>
      <c r="AG21" s="64" t="s">
        <v>86</v>
      </c>
      <c r="AH21" s="127">
        <v>2163</v>
      </c>
      <c r="AI21" s="150">
        <f t="shared" si="2"/>
        <v>9</v>
      </c>
    </row>
    <row r="22" spans="1:37" ht="24.75" customHeight="1" thickTop="1">
      <c r="A22" s="244">
        <v>101</v>
      </c>
      <c r="B22" s="75" t="s">
        <v>84</v>
      </c>
      <c r="C22" s="76" t="s">
        <v>68</v>
      </c>
      <c r="D22" s="74" t="s">
        <v>87</v>
      </c>
      <c r="E22" s="77">
        <v>2543</v>
      </c>
      <c r="F22" s="78" t="s">
        <v>88</v>
      </c>
      <c r="G22" s="78" t="s">
        <v>88</v>
      </c>
      <c r="H22" s="79" t="s">
        <v>89</v>
      </c>
      <c r="I22" s="79" t="s">
        <v>89</v>
      </c>
      <c r="J22" s="128" t="s">
        <v>90</v>
      </c>
      <c r="K22" s="276" t="s">
        <v>88</v>
      </c>
      <c r="L22" s="277" t="s">
        <v>91</v>
      </c>
      <c r="M22" s="277" t="s">
        <v>91</v>
      </c>
      <c r="N22" s="277" t="s">
        <v>89</v>
      </c>
      <c r="O22" s="277" t="s">
        <v>92</v>
      </c>
      <c r="P22" s="278"/>
      <c r="Q22" s="129" t="s">
        <v>45</v>
      </c>
      <c r="R22" s="79" t="s">
        <v>45</v>
      </c>
      <c r="S22" s="79" t="s">
        <v>45</v>
      </c>
      <c r="T22" s="79" t="s">
        <v>93</v>
      </c>
      <c r="U22" s="79" t="s">
        <v>94</v>
      </c>
      <c r="V22" s="128"/>
      <c r="W22" s="314" t="s">
        <v>92</v>
      </c>
      <c r="X22" s="315" t="s">
        <v>91</v>
      </c>
      <c r="Y22" s="315" t="s">
        <v>91</v>
      </c>
      <c r="Z22" s="315">
        <v>1502</v>
      </c>
      <c r="AA22" s="315">
        <v>1502</v>
      </c>
      <c r="AB22" s="316"/>
      <c r="AC22" s="129" t="s">
        <v>92</v>
      </c>
      <c r="AD22" s="78" t="s">
        <v>92</v>
      </c>
      <c r="AE22" s="382" t="s">
        <v>229</v>
      </c>
      <c r="AF22" s="79" t="s">
        <v>92</v>
      </c>
      <c r="AG22" s="79">
        <v>2163</v>
      </c>
      <c r="AH22" s="128"/>
      <c r="AI22" s="151">
        <f t="shared" si="2"/>
        <v>101</v>
      </c>
    </row>
    <row r="23" spans="1:37" ht="24.75" customHeight="1">
      <c r="A23" s="242">
        <v>102</v>
      </c>
      <c r="B23" s="60" t="s">
        <v>59</v>
      </c>
      <c r="C23" s="61" t="s">
        <v>68</v>
      </c>
      <c r="D23" s="54"/>
      <c r="E23" s="62"/>
      <c r="F23" s="63"/>
      <c r="G23" s="63"/>
      <c r="H23" s="64">
        <v>2401</v>
      </c>
      <c r="I23" s="64" t="s">
        <v>95</v>
      </c>
      <c r="J23" s="125" t="s">
        <v>95</v>
      </c>
      <c r="K23" s="271"/>
      <c r="L23" s="272"/>
      <c r="M23" s="272"/>
      <c r="N23" s="272"/>
      <c r="O23" s="272"/>
      <c r="P23" s="273" t="s">
        <v>72</v>
      </c>
      <c r="Q23" s="126"/>
      <c r="R23" s="64"/>
      <c r="S23" s="64"/>
      <c r="T23" s="64">
        <v>2401</v>
      </c>
      <c r="U23" s="64">
        <v>2401</v>
      </c>
      <c r="V23" s="125" t="s">
        <v>95</v>
      </c>
      <c r="W23" s="308"/>
      <c r="X23" s="309"/>
      <c r="Y23" s="309"/>
      <c r="Z23" s="309"/>
      <c r="AA23" s="309"/>
      <c r="AB23" s="310" t="s">
        <v>72</v>
      </c>
      <c r="AC23" s="126"/>
      <c r="AD23" s="63"/>
      <c r="AE23" s="64"/>
      <c r="AF23" s="64" t="s">
        <v>72</v>
      </c>
      <c r="AG23" s="64" t="s">
        <v>72</v>
      </c>
      <c r="AH23" s="125" t="s">
        <v>96</v>
      </c>
      <c r="AI23" s="146">
        <f t="shared" si="2"/>
        <v>102</v>
      </c>
    </row>
    <row r="24" spans="1:37" ht="24.75" customHeight="1">
      <c r="A24" s="242">
        <v>102</v>
      </c>
      <c r="B24" s="60" t="s">
        <v>97</v>
      </c>
      <c r="C24" s="61" t="s">
        <v>68</v>
      </c>
      <c r="D24" s="80" t="s">
        <v>98</v>
      </c>
      <c r="E24" s="62">
        <v>1887</v>
      </c>
      <c r="F24" s="63">
        <v>1887</v>
      </c>
      <c r="G24" s="63" t="s">
        <v>89</v>
      </c>
      <c r="H24" s="64"/>
      <c r="I24" s="64"/>
      <c r="J24" s="125"/>
      <c r="K24" s="271">
        <v>1887</v>
      </c>
      <c r="L24" s="272">
        <v>2336</v>
      </c>
      <c r="M24" s="272">
        <v>2336</v>
      </c>
      <c r="N24" s="272" t="s">
        <v>91</v>
      </c>
      <c r="O24" s="272" t="s">
        <v>91</v>
      </c>
      <c r="P24" s="273"/>
      <c r="Q24" s="126" t="s">
        <v>99</v>
      </c>
      <c r="R24" s="64" t="s">
        <v>89</v>
      </c>
      <c r="S24" s="64" t="s">
        <v>89</v>
      </c>
      <c r="T24" s="64"/>
      <c r="U24" s="64"/>
      <c r="V24" s="125"/>
      <c r="W24" s="308">
        <v>1887</v>
      </c>
      <c r="X24" s="309">
        <v>2336</v>
      </c>
      <c r="Y24" s="309">
        <v>2336</v>
      </c>
      <c r="Z24" s="309" t="s">
        <v>91</v>
      </c>
      <c r="AA24" s="309" t="s">
        <v>91</v>
      </c>
      <c r="AB24" s="310"/>
      <c r="AC24" s="126"/>
      <c r="AD24" s="63"/>
      <c r="AE24" s="64">
        <v>1567</v>
      </c>
      <c r="AF24" s="64"/>
      <c r="AG24" s="64"/>
      <c r="AH24" s="125"/>
      <c r="AI24" s="146">
        <f t="shared" si="2"/>
        <v>102</v>
      </c>
    </row>
    <row r="25" spans="1:37" ht="24.75" customHeight="1">
      <c r="A25" s="242">
        <v>103</v>
      </c>
      <c r="B25" s="60" t="s">
        <v>65</v>
      </c>
      <c r="C25" s="61" t="s">
        <v>68</v>
      </c>
      <c r="D25" s="80" t="s">
        <v>100</v>
      </c>
      <c r="E25" s="62">
        <v>2401</v>
      </c>
      <c r="F25" s="63" t="s">
        <v>89</v>
      </c>
      <c r="G25" s="63">
        <v>1246</v>
      </c>
      <c r="H25" s="64"/>
      <c r="I25" s="64"/>
      <c r="J25" s="125"/>
      <c r="K25" s="271">
        <v>1152</v>
      </c>
      <c r="L25" s="272">
        <v>1152</v>
      </c>
      <c r="M25" s="272" t="s">
        <v>89</v>
      </c>
      <c r="N25" s="272">
        <v>2468</v>
      </c>
      <c r="O25" s="272">
        <v>2468</v>
      </c>
      <c r="P25" s="273"/>
      <c r="Q25" s="126">
        <v>1384</v>
      </c>
      <c r="R25" s="64">
        <v>2476</v>
      </c>
      <c r="S25" s="64">
        <v>2476</v>
      </c>
      <c r="T25" s="64"/>
      <c r="U25" s="64" t="s">
        <v>212</v>
      </c>
      <c r="V25" s="125" t="s">
        <v>212</v>
      </c>
      <c r="W25" s="308">
        <v>2401</v>
      </c>
      <c r="X25" s="309">
        <v>1152</v>
      </c>
      <c r="Y25" s="309" t="s">
        <v>89</v>
      </c>
      <c r="Z25" s="309">
        <v>2468</v>
      </c>
      <c r="AA25" s="309">
        <v>2468</v>
      </c>
      <c r="AB25" s="310"/>
      <c r="AC25" s="126">
        <v>1384</v>
      </c>
      <c r="AD25" s="63">
        <v>2476</v>
      </c>
      <c r="AE25" s="64">
        <v>2476</v>
      </c>
      <c r="AF25" s="64"/>
      <c r="AG25" s="64"/>
      <c r="AH25" s="125"/>
      <c r="AI25" s="146">
        <f t="shared" si="2"/>
        <v>103</v>
      </c>
    </row>
    <row r="26" spans="1:37" ht="27.75" customHeight="1">
      <c r="A26" s="242">
        <v>103</v>
      </c>
      <c r="B26" s="60" t="s">
        <v>101</v>
      </c>
      <c r="C26" s="61" t="s">
        <v>68</v>
      </c>
      <c r="D26" s="54"/>
      <c r="E26" s="62"/>
      <c r="F26" s="63"/>
      <c r="G26" s="64"/>
      <c r="H26" s="64">
        <v>2306</v>
      </c>
      <c r="I26" s="64">
        <v>2306</v>
      </c>
      <c r="J26" s="125" t="s">
        <v>102</v>
      </c>
      <c r="K26" s="271"/>
      <c r="L26" s="272"/>
      <c r="M26" s="272"/>
      <c r="N26" s="272"/>
      <c r="O26" s="272"/>
      <c r="P26" s="273" t="s">
        <v>92</v>
      </c>
      <c r="Q26" s="126"/>
      <c r="R26" s="64"/>
      <c r="S26" s="64"/>
      <c r="T26" s="64" t="s">
        <v>95</v>
      </c>
      <c r="U26" s="64"/>
      <c r="V26" s="125"/>
      <c r="W26" s="308"/>
      <c r="X26" s="309"/>
      <c r="Y26" s="309"/>
      <c r="Z26" s="309"/>
      <c r="AA26" s="309"/>
      <c r="AB26" s="310" t="s">
        <v>95</v>
      </c>
      <c r="AC26" s="126"/>
      <c r="AD26" s="63"/>
      <c r="AE26" s="64"/>
      <c r="AF26" s="64">
        <v>2306</v>
      </c>
      <c r="AG26" s="64" t="s">
        <v>92</v>
      </c>
      <c r="AH26" s="125" t="s">
        <v>86</v>
      </c>
      <c r="AI26" s="146">
        <f t="shared" si="2"/>
        <v>103</v>
      </c>
      <c r="AJ26" s="148"/>
      <c r="AK26" s="148"/>
    </row>
    <row r="27" spans="1:37" ht="33" customHeight="1" thickBot="1">
      <c r="A27" s="245">
        <v>104</v>
      </c>
      <c r="B27" s="81" t="s">
        <v>103</v>
      </c>
      <c r="C27" s="82" t="s">
        <v>78</v>
      </c>
      <c r="D27" s="83" t="s">
        <v>104</v>
      </c>
      <c r="E27" s="84" t="s">
        <v>105</v>
      </c>
      <c r="F27" s="85" t="s">
        <v>105</v>
      </c>
      <c r="G27" s="86">
        <v>2543</v>
      </c>
      <c r="H27" s="84" t="s">
        <v>81</v>
      </c>
      <c r="I27" s="130">
        <v>2472</v>
      </c>
      <c r="J27" s="131"/>
      <c r="K27" s="279" t="s">
        <v>106</v>
      </c>
      <c r="L27" s="280" t="s">
        <v>106</v>
      </c>
      <c r="M27" s="281"/>
      <c r="N27" s="282" t="s">
        <v>107</v>
      </c>
      <c r="O27" s="280">
        <v>2166</v>
      </c>
      <c r="P27" s="283"/>
      <c r="Q27" s="132" t="s">
        <v>108</v>
      </c>
      <c r="R27" s="130"/>
      <c r="S27" s="86"/>
      <c r="T27" s="84">
        <v>2472</v>
      </c>
      <c r="U27" s="130">
        <v>2166</v>
      </c>
      <c r="V27" s="131"/>
      <c r="W27" s="317" t="s">
        <v>106</v>
      </c>
      <c r="X27" s="318" t="s">
        <v>106</v>
      </c>
      <c r="Y27" s="319" t="s">
        <v>107</v>
      </c>
      <c r="Z27" s="320" t="s">
        <v>81</v>
      </c>
      <c r="AA27" s="318" t="s">
        <v>81</v>
      </c>
      <c r="AB27" s="321"/>
      <c r="AC27" s="132" t="s">
        <v>105</v>
      </c>
      <c r="AD27" s="85"/>
      <c r="AE27" s="86"/>
      <c r="AF27" s="84" t="s">
        <v>81</v>
      </c>
      <c r="AG27" s="130">
        <v>2472</v>
      </c>
      <c r="AH27" s="131"/>
      <c r="AI27" s="146">
        <f t="shared" si="2"/>
        <v>104</v>
      </c>
      <c r="AJ27" s="148"/>
      <c r="AK27" s="148"/>
    </row>
    <row r="28" spans="1:37" ht="30.75" customHeight="1" thickTop="1">
      <c r="A28" s="246">
        <v>201</v>
      </c>
      <c r="B28" s="88" t="s">
        <v>109</v>
      </c>
      <c r="C28" s="89" t="s">
        <v>68</v>
      </c>
      <c r="D28" s="90" t="s">
        <v>110</v>
      </c>
      <c r="E28" s="91"/>
      <c r="F28" s="92"/>
      <c r="G28" s="87"/>
      <c r="H28" s="91" t="s">
        <v>70</v>
      </c>
      <c r="I28" s="133">
        <v>2338</v>
      </c>
      <c r="J28" s="373" t="s">
        <v>209</v>
      </c>
      <c r="K28" s="284"/>
      <c r="L28" s="285" t="s">
        <v>234</v>
      </c>
      <c r="M28" s="286" t="s">
        <v>234</v>
      </c>
      <c r="N28" s="287" t="s">
        <v>70</v>
      </c>
      <c r="O28" s="285" t="s">
        <v>209</v>
      </c>
      <c r="P28" s="288" t="s">
        <v>209</v>
      </c>
      <c r="Q28" s="135" t="s">
        <v>112</v>
      </c>
      <c r="R28" s="133" t="s">
        <v>91</v>
      </c>
      <c r="S28" s="87" t="s">
        <v>91</v>
      </c>
      <c r="T28" s="91" t="s">
        <v>70</v>
      </c>
      <c r="U28" s="133">
        <v>2338</v>
      </c>
      <c r="V28" s="134">
        <v>2338</v>
      </c>
      <c r="W28" s="322"/>
      <c r="X28" s="285" t="s">
        <v>234</v>
      </c>
      <c r="Y28" s="286" t="s">
        <v>234</v>
      </c>
      <c r="Z28" s="324">
        <v>1152</v>
      </c>
      <c r="AA28" s="323">
        <v>1887</v>
      </c>
      <c r="AB28" s="325">
        <v>1887</v>
      </c>
      <c r="AC28" s="135"/>
      <c r="AD28" s="92" t="s">
        <v>91</v>
      </c>
      <c r="AE28" s="87" t="s">
        <v>91</v>
      </c>
      <c r="AF28" s="91">
        <v>1152</v>
      </c>
      <c r="AG28" s="133">
        <v>990</v>
      </c>
      <c r="AH28" s="134">
        <v>990</v>
      </c>
      <c r="AI28" s="146">
        <f t="shared" si="2"/>
        <v>201</v>
      </c>
      <c r="AJ28" s="148"/>
      <c r="AK28" s="148"/>
    </row>
    <row r="29" spans="1:37" ht="24.75" customHeight="1">
      <c r="A29" s="250">
        <v>202</v>
      </c>
      <c r="B29" s="73" t="s">
        <v>113</v>
      </c>
      <c r="C29" s="93" t="s">
        <v>38</v>
      </c>
      <c r="D29" s="94"/>
      <c r="E29" s="62"/>
      <c r="F29" s="63"/>
      <c r="G29" s="54"/>
      <c r="H29" s="62" t="s">
        <v>114</v>
      </c>
      <c r="I29" s="64">
        <v>2206</v>
      </c>
      <c r="J29" s="127">
        <v>1360</v>
      </c>
      <c r="K29" s="271"/>
      <c r="L29" s="272"/>
      <c r="M29" s="274"/>
      <c r="N29" s="275">
        <v>2409</v>
      </c>
      <c r="O29" s="272">
        <v>2409</v>
      </c>
      <c r="P29" s="273">
        <v>2166</v>
      </c>
      <c r="Q29" s="126"/>
      <c r="R29" s="64"/>
      <c r="S29" s="54"/>
      <c r="T29" s="62"/>
      <c r="U29" s="64"/>
      <c r="V29" s="127">
        <v>2166</v>
      </c>
      <c r="W29" s="308"/>
      <c r="X29" s="309"/>
      <c r="Y29" s="312"/>
      <c r="Z29" s="313">
        <v>2206</v>
      </c>
      <c r="AA29" s="309">
        <v>1360</v>
      </c>
      <c r="AB29" s="311">
        <v>2409</v>
      </c>
      <c r="AC29" s="126"/>
      <c r="AD29" s="63"/>
      <c r="AE29" s="54"/>
      <c r="AF29" s="62"/>
      <c r="AG29" s="64"/>
      <c r="AH29" s="127">
        <v>2206</v>
      </c>
      <c r="AI29" s="146">
        <f t="shared" si="2"/>
        <v>202</v>
      </c>
      <c r="AJ29" s="148"/>
      <c r="AK29" s="148"/>
    </row>
    <row r="30" spans="1:37" ht="24.75" customHeight="1">
      <c r="A30" s="250" t="s">
        <v>214</v>
      </c>
      <c r="B30" s="73"/>
      <c r="C30" s="93" t="s">
        <v>46</v>
      </c>
      <c r="D30" s="94"/>
      <c r="E30" s="62"/>
      <c r="F30" s="63"/>
      <c r="G30" s="54"/>
      <c r="H30" s="62">
        <v>1035</v>
      </c>
      <c r="I30" s="64">
        <v>1035</v>
      </c>
      <c r="J30" s="127"/>
      <c r="K30" s="271"/>
      <c r="L30" s="272"/>
      <c r="M30" s="274"/>
      <c r="N30" s="275"/>
      <c r="O30" s="272"/>
      <c r="P30" s="273"/>
      <c r="Q30" s="126"/>
      <c r="R30" s="64"/>
      <c r="S30" s="54"/>
      <c r="T30" s="62"/>
      <c r="U30" s="64"/>
      <c r="V30" s="127"/>
      <c r="W30" s="308"/>
      <c r="X30" s="309"/>
      <c r="Y30" s="312"/>
      <c r="Z30" s="313">
        <v>1035</v>
      </c>
      <c r="AA30" s="309"/>
      <c r="AB30" s="311"/>
      <c r="AC30" s="126"/>
      <c r="AD30" s="63"/>
      <c r="AE30" s="54">
        <v>1035</v>
      </c>
      <c r="AF30" s="62">
        <v>1035</v>
      </c>
      <c r="AG30" s="64">
        <v>1035</v>
      </c>
      <c r="AH30" s="127"/>
      <c r="AI30" s="146" t="str">
        <f t="shared" si="2"/>
        <v>203 Sim</v>
      </c>
      <c r="AJ30" s="148"/>
      <c r="AK30" s="148"/>
    </row>
    <row r="31" spans="1:37" ht="30" customHeight="1">
      <c r="A31" s="250">
        <v>204</v>
      </c>
      <c r="B31" s="70" t="s">
        <v>115</v>
      </c>
      <c r="C31" s="61" t="s">
        <v>116</v>
      </c>
      <c r="D31" s="69"/>
      <c r="E31" s="62"/>
      <c r="F31" s="63"/>
      <c r="G31" s="54"/>
      <c r="H31" s="348" t="s">
        <v>202</v>
      </c>
      <c r="I31" s="259" t="s">
        <v>202</v>
      </c>
      <c r="J31" s="264" t="s">
        <v>202</v>
      </c>
      <c r="K31" s="271"/>
      <c r="L31" s="272"/>
      <c r="M31" s="274">
        <v>1662</v>
      </c>
      <c r="N31" s="275">
        <v>1662</v>
      </c>
      <c r="O31" s="272">
        <v>1662</v>
      </c>
      <c r="P31" s="273" t="s">
        <v>117</v>
      </c>
      <c r="Q31" s="126"/>
      <c r="R31" s="64"/>
      <c r="S31" s="260" t="s">
        <v>195</v>
      </c>
      <c r="T31" s="62"/>
      <c r="U31" s="64"/>
      <c r="V31" s="127" t="s">
        <v>117</v>
      </c>
      <c r="W31" s="308"/>
      <c r="X31" s="309"/>
      <c r="Y31" s="312">
        <v>1662</v>
      </c>
      <c r="Z31" s="313">
        <v>1662</v>
      </c>
      <c r="AA31" s="309">
        <v>2310</v>
      </c>
      <c r="AB31" s="311">
        <v>2310</v>
      </c>
      <c r="AC31" s="126"/>
      <c r="AD31" s="63"/>
      <c r="AE31" s="54">
        <v>2310</v>
      </c>
      <c r="AF31" s="62"/>
      <c r="AG31" s="64"/>
      <c r="AH31" s="127" t="s">
        <v>117</v>
      </c>
      <c r="AI31" s="146">
        <f t="shared" si="2"/>
        <v>204</v>
      </c>
      <c r="AJ31" s="149"/>
    </row>
    <row r="32" spans="1:37" ht="24" customHeight="1">
      <c r="A32" s="242">
        <v>205</v>
      </c>
      <c r="B32" s="73" t="s">
        <v>118</v>
      </c>
      <c r="C32" s="61" t="s">
        <v>38</v>
      </c>
      <c r="D32" s="95" t="s">
        <v>119</v>
      </c>
      <c r="E32" s="62">
        <v>2396</v>
      </c>
      <c r="F32" s="63">
        <v>1769</v>
      </c>
      <c r="G32" s="54">
        <v>2372</v>
      </c>
      <c r="H32" s="62"/>
      <c r="I32" s="64"/>
      <c r="J32" s="125"/>
      <c r="K32" s="271" t="s">
        <v>49</v>
      </c>
      <c r="L32" s="341" t="s">
        <v>189</v>
      </c>
      <c r="M32" s="327" t="s">
        <v>189</v>
      </c>
      <c r="N32" s="275" t="s">
        <v>111</v>
      </c>
      <c r="O32" s="272" t="s">
        <v>111</v>
      </c>
      <c r="P32" s="273"/>
      <c r="Q32" s="126">
        <v>2372</v>
      </c>
      <c r="R32" s="64">
        <v>382</v>
      </c>
      <c r="S32" s="54">
        <v>382</v>
      </c>
      <c r="T32" s="62"/>
      <c r="U32" s="64"/>
      <c r="V32" s="125"/>
      <c r="W32" s="308">
        <v>2396</v>
      </c>
      <c r="X32" s="309" t="s">
        <v>219</v>
      </c>
      <c r="Y32" s="312" t="s">
        <v>219</v>
      </c>
      <c r="Z32" s="313" t="s">
        <v>111</v>
      </c>
      <c r="AA32" s="309" t="s">
        <v>111</v>
      </c>
      <c r="AB32" s="310"/>
      <c r="AC32" s="126" t="s">
        <v>49</v>
      </c>
      <c r="AD32" s="63">
        <v>2396</v>
      </c>
      <c r="AE32" s="54" t="s">
        <v>49</v>
      </c>
      <c r="AF32" s="62"/>
      <c r="AG32" s="64"/>
      <c r="AH32" s="125"/>
      <c r="AI32" s="146">
        <f t="shared" si="2"/>
        <v>205</v>
      </c>
      <c r="AJ32" s="149"/>
    </row>
    <row r="33" spans="1:65 16348:16348" ht="24" customHeight="1">
      <c r="A33" s="242">
        <v>205</v>
      </c>
      <c r="B33" s="96"/>
      <c r="C33" s="61"/>
      <c r="D33" s="54"/>
      <c r="E33" s="62"/>
      <c r="F33" s="63"/>
      <c r="G33" s="54"/>
      <c r="H33" s="348"/>
      <c r="I33" s="64"/>
      <c r="J33" s="125"/>
      <c r="K33" s="271"/>
      <c r="L33" s="272"/>
      <c r="M33" s="274"/>
      <c r="N33" s="275"/>
      <c r="O33" s="272"/>
      <c r="P33" s="345"/>
      <c r="Q33" s="126" t="s">
        <v>10</v>
      </c>
      <c r="R33" s="64"/>
      <c r="S33" s="54"/>
      <c r="T33" s="62"/>
      <c r="U33" s="64"/>
      <c r="V33" s="125"/>
      <c r="W33" s="308"/>
      <c r="X33" s="309"/>
      <c r="Y33" s="312"/>
      <c r="Z33" s="313"/>
      <c r="AA33" s="309"/>
      <c r="AB33" s="310"/>
      <c r="AC33" s="126"/>
      <c r="AD33" s="63"/>
      <c r="AE33" s="54"/>
      <c r="AF33" s="62"/>
      <c r="AG33" s="64"/>
      <c r="AH33" s="125"/>
      <c r="AI33" s="146">
        <f t="shared" ref="AI33:AI35" si="3">A33</f>
        <v>205</v>
      </c>
      <c r="AJ33" s="149"/>
    </row>
    <row r="34" spans="1:65 16348:16348" ht="24" customHeight="1">
      <c r="A34" s="242">
        <v>206</v>
      </c>
      <c r="B34" s="60" t="s">
        <v>122</v>
      </c>
      <c r="C34" s="61" t="s">
        <v>68</v>
      </c>
      <c r="D34" s="69"/>
      <c r="E34" s="62"/>
      <c r="F34" s="63"/>
      <c r="G34" s="54"/>
      <c r="H34" s="62" t="s">
        <v>88</v>
      </c>
      <c r="I34" s="64" t="s">
        <v>88</v>
      </c>
      <c r="J34" s="127">
        <v>848</v>
      </c>
      <c r="K34" s="271"/>
      <c r="L34" s="272"/>
      <c r="M34" s="274"/>
      <c r="N34" s="275">
        <v>245</v>
      </c>
      <c r="O34" s="272">
        <v>245</v>
      </c>
      <c r="P34" s="273" t="s">
        <v>123</v>
      </c>
      <c r="Q34" s="126"/>
      <c r="R34" s="64"/>
      <c r="S34" s="54"/>
      <c r="T34" s="62">
        <v>848</v>
      </c>
      <c r="U34" s="64">
        <v>848</v>
      </c>
      <c r="V34" s="127" t="s">
        <v>45</v>
      </c>
      <c r="W34" s="308"/>
      <c r="X34" s="309"/>
      <c r="Y34" s="312"/>
      <c r="Z34" s="313" t="s">
        <v>88</v>
      </c>
      <c r="AA34" s="309" t="s">
        <v>45</v>
      </c>
      <c r="AB34" s="311" t="s">
        <v>45</v>
      </c>
      <c r="AC34" s="126"/>
      <c r="AD34" s="63"/>
      <c r="AE34" s="54"/>
      <c r="AF34" s="62">
        <v>1502</v>
      </c>
      <c r="AG34" s="64">
        <v>1502</v>
      </c>
      <c r="AH34" s="264" t="s">
        <v>205</v>
      </c>
      <c r="AI34" s="146">
        <f t="shared" si="3"/>
        <v>206</v>
      </c>
      <c r="AJ34" s="147"/>
      <c r="AK34" s="152"/>
    </row>
    <row r="35" spans="1:65 16348:16348" ht="24" customHeight="1">
      <c r="A35" s="242">
        <v>207</v>
      </c>
      <c r="B35" s="60" t="s">
        <v>122</v>
      </c>
      <c r="C35" s="61" t="s">
        <v>38</v>
      </c>
      <c r="D35" s="69"/>
      <c r="E35" s="62"/>
      <c r="F35" s="63"/>
      <c r="G35" s="54"/>
      <c r="H35" s="62">
        <v>2409</v>
      </c>
      <c r="I35" s="64">
        <v>2409</v>
      </c>
      <c r="J35" s="127">
        <v>1769</v>
      </c>
      <c r="K35" s="271"/>
      <c r="L35" s="272"/>
      <c r="M35" s="274"/>
      <c r="N35" s="275">
        <v>2390</v>
      </c>
      <c r="O35" s="272" t="s">
        <v>42</v>
      </c>
      <c r="P35" s="273" t="s">
        <v>42</v>
      </c>
      <c r="Q35" s="126"/>
      <c r="R35" s="64"/>
      <c r="S35" s="54"/>
      <c r="T35" s="62">
        <v>2390</v>
      </c>
      <c r="U35" s="64" t="s">
        <v>41</v>
      </c>
      <c r="V35" s="127" t="s">
        <v>41</v>
      </c>
      <c r="W35" s="308"/>
      <c r="X35" s="309"/>
      <c r="Y35" s="312"/>
      <c r="Z35" s="313">
        <v>2409</v>
      </c>
      <c r="AA35" s="309">
        <v>2409</v>
      </c>
      <c r="AB35" s="311">
        <v>1360</v>
      </c>
      <c r="AC35" s="126"/>
      <c r="AD35" s="63"/>
      <c r="AE35" s="54"/>
      <c r="AF35" s="62" t="s">
        <v>41</v>
      </c>
      <c r="AG35" s="64">
        <v>1360</v>
      </c>
      <c r="AH35" s="127">
        <v>2390</v>
      </c>
      <c r="AI35" s="146">
        <f t="shared" si="3"/>
        <v>207</v>
      </c>
      <c r="AJ35" s="148"/>
      <c r="AK35" s="148"/>
    </row>
    <row r="36" spans="1:65 16348:16348" ht="24" customHeight="1">
      <c r="A36" s="242">
        <v>208</v>
      </c>
      <c r="B36" s="73" t="s">
        <v>77</v>
      </c>
      <c r="C36" s="61" t="s">
        <v>120</v>
      </c>
      <c r="D36" s="94"/>
      <c r="E36" s="62" t="s">
        <v>127</v>
      </c>
      <c r="F36" s="63" t="s">
        <v>127</v>
      </c>
      <c r="G36" s="54" t="s">
        <v>127</v>
      </c>
      <c r="H36" s="62">
        <v>2130</v>
      </c>
      <c r="I36" s="64">
        <v>1562</v>
      </c>
      <c r="J36" s="125"/>
      <c r="K36" s="271" t="s">
        <v>127</v>
      </c>
      <c r="L36" s="272"/>
      <c r="M36" s="274"/>
      <c r="N36" s="275" t="s">
        <v>121</v>
      </c>
      <c r="O36" s="272" t="s">
        <v>121</v>
      </c>
      <c r="P36" s="273"/>
      <c r="Q36" s="126" t="s">
        <v>127</v>
      </c>
      <c r="R36" s="64" t="s">
        <v>127</v>
      </c>
      <c r="S36" s="54" t="s">
        <v>128</v>
      </c>
      <c r="T36" s="62" t="s">
        <v>128</v>
      </c>
      <c r="U36" s="64">
        <v>1562</v>
      </c>
      <c r="V36" s="125"/>
      <c r="W36" s="308" t="s">
        <v>126</v>
      </c>
      <c r="X36" s="309"/>
      <c r="Y36" s="312"/>
      <c r="Z36" s="313" t="s">
        <v>121</v>
      </c>
      <c r="AA36" s="309">
        <v>1562</v>
      </c>
      <c r="AB36" s="310"/>
      <c r="AC36" s="126" t="s">
        <v>126</v>
      </c>
      <c r="AD36" s="63">
        <v>1562</v>
      </c>
      <c r="AE36" s="54">
        <v>1562</v>
      </c>
      <c r="AF36" s="62">
        <v>2130</v>
      </c>
      <c r="AG36" s="64" t="s">
        <v>121</v>
      </c>
      <c r="AH36" s="125"/>
      <c r="AI36" s="146">
        <f>A36</f>
        <v>208</v>
      </c>
      <c r="AJ36" s="147"/>
      <c r="AK36" s="147"/>
      <c r="AN36" s="153"/>
      <c r="XDT36">
        <f>SUM(A36:XDS36)</f>
        <v>12486</v>
      </c>
    </row>
    <row r="37" spans="1:65 16348:16348" ht="24" customHeight="1">
      <c r="A37" s="247">
        <v>209</v>
      </c>
      <c r="B37" s="97" t="s">
        <v>124</v>
      </c>
      <c r="C37" s="63" t="s">
        <v>120</v>
      </c>
      <c r="D37" s="54"/>
      <c r="E37" s="62">
        <v>964</v>
      </c>
      <c r="F37" s="63">
        <v>964</v>
      </c>
      <c r="G37" s="54">
        <v>2130</v>
      </c>
      <c r="H37" s="64" t="s">
        <v>125</v>
      </c>
      <c r="I37" s="64">
        <v>2182</v>
      </c>
      <c r="J37" s="127">
        <v>2182</v>
      </c>
      <c r="K37" s="271">
        <v>964</v>
      </c>
      <c r="L37" s="272"/>
      <c r="M37" s="272"/>
      <c r="N37" s="272" t="s">
        <v>29</v>
      </c>
      <c r="O37" s="272">
        <v>1562</v>
      </c>
      <c r="P37" s="273" t="s">
        <v>121</v>
      </c>
      <c r="Q37" s="126">
        <v>964</v>
      </c>
      <c r="R37" s="64">
        <v>1567</v>
      </c>
      <c r="S37" s="64"/>
      <c r="T37" s="64" t="s">
        <v>126</v>
      </c>
      <c r="U37" s="64" t="s">
        <v>126</v>
      </c>
      <c r="V37" s="127" t="s">
        <v>29</v>
      </c>
      <c r="W37" s="308"/>
      <c r="X37" s="309"/>
      <c r="Y37" s="309"/>
      <c r="Z37" s="309">
        <v>765</v>
      </c>
      <c r="AA37" s="309">
        <v>2182</v>
      </c>
      <c r="AB37" s="311">
        <v>1579</v>
      </c>
      <c r="AC37" s="126"/>
      <c r="AD37" s="63"/>
      <c r="AE37" s="64"/>
      <c r="AF37" s="64" t="s">
        <v>121</v>
      </c>
      <c r="AG37" s="64">
        <v>1562</v>
      </c>
      <c r="AH37" s="127">
        <v>2182</v>
      </c>
      <c r="AI37" s="146">
        <f>A37</f>
        <v>209</v>
      </c>
      <c r="AJ37" s="147"/>
      <c r="AK37" s="147"/>
    </row>
    <row r="38" spans="1:65 16348:16348" ht="24" customHeight="1">
      <c r="A38" s="250">
        <v>210</v>
      </c>
      <c r="B38" s="60" t="s">
        <v>129</v>
      </c>
      <c r="C38" s="63" t="s">
        <v>38</v>
      </c>
      <c r="D38" s="69"/>
      <c r="E38" s="62"/>
      <c r="F38" s="63"/>
      <c r="G38" s="54"/>
      <c r="H38" s="62">
        <v>1581</v>
      </c>
      <c r="I38" s="64">
        <v>1581</v>
      </c>
      <c r="J38" s="127"/>
      <c r="K38" s="271"/>
      <c r="L38" s="272"/>
      <c r="M38" s="274">
        <v>382</v>
      </c>
      <c r="N38" s="275">
        <v>1602</v>
      </c>
      <c r="O38" s="272">
        <v>1602</v>
      </c>
      <c r="P38" s="273"/>
      <c r="Q38" s="126"/>
      <c r="R38" s="64"/>
      <c r="S38" s="54"/>
      <c r="T38" s="62" t="s">
        <v>130</v>
      </c>
      <c r="U38" s="64" t="s">
        <v>130</v>
      </c>
      <c r="V38" s="127"/>
      <c r="W38" s="308"/>
      <c r="X38" s="309">
        <v>1581</v>
      </c>
      <c r="Y38" s="312"/>
      <c r="Z38" s="313">
        <v>1602</v>
      </c>
      <c r="AA38" s="272" t="s">
        <v>130</v>
      </c>
      <c r="AB38" s="311"/>
      <c r="AC38" s="126"/>
      <c r="AD38" s="63"/>
      <c r="AE38" s="54"/>
      <c r="AF38" s="62"/>
      <c r="AG38" s="64"/>
      <c r="AH38" s="127"/>
      <c r="AI38" s="146">
        <f t="shared" ref="AI38:AI43" si="4">A38</f>
        <v>210</v>
      </c>
      <c r="AJ38" s="147"/>
      <c r="AK38" s="147"/>
      <c r="AN38" s="153"/>
    </row>
    <row r="39" spans="1:65 16348:16348" ht="24" customHeight="1">
      <c r="A39" s="253">
        <v>211</v>
      </c>
      <c r="B39" s="60" t="s">
        <v>109</v>
      </c>
      <c r="C39" s="63" t="s">
        <v>60</v>
      </c>
      <c r="D39" s="98"/>
      <c r="E39" s="62"/>
      <c r="F39" s="63"/>
      <c r="G39" s="54"/>
      <c r="H39" s="62" t="s">
        <v>34</v>
      </c>
      <c r="I39" s="64" t="s">
        <v>131</v>
      </c>
      <c r="J39" s="125">
        <v>1990</v>
      </c>
      <c r="K39" s="271"/>
      <c r="L39" s="272"/>
      <c r="M39" s="274"/>
      <c r="N39" s="275" t="s">
        <v>63</v>
      </c>
      <c r="O39" s="272" t="s">
        <v>34</v>
      </c>
      <c r="P39" s="273">
        <v>1990</v>
      </c>
      <c r="Q39" s="126"/>
      <c r="R39" s="64"/>
      <c r="S39" s="54"/>
      <c r="T39" s="62" t="s">
        <v>76</v>
      </c>
      <c r="U39" s="64" t="s">
        <v>63</v>
      </c>
      <c r="V39" s="125">
        <v>1990</v>
      </c>
      <c r="W39" s="308"/>
      <c r="X39" s="309"/>
      <c r="Y39" s="312"/>
      <c r="Z39" s="313" t="s">
        <v>222</v>
      </c>
      <c r="AA39" s="309" t="s">
        <v>75</v>
      </c>
      <c r="AB39" s="310" t="s">
        <v>75</v>
      </c>
      <c r="AC39" s="126"/>
      <c r="AD39" s="63"/>
      <c r="AE39" s="54"/>
      <c r="AF39" s="348" t="s">
        <v>222</v>
      </c>
      <c r="AG39" s="262" t="s">
        <v>188</v>
      </c>
      <c r="AH39" s="263" t="s">
        <v>188</v>
      </c>
      <c r="AI39" s="146">
        <f t="shared" si="4"/>
        <v>211</v>
      </c>
      <c r="AJ39" s="147"/>
      <c r="AK39" s="147"/>
    </row>
    <row r="40" spans="1:65 16348:16348" ht="24" customHeight="1">
      <c r="A40" s="253">
        <v>211</v>
      </c>
      <c r="B40" s="60" t="s">
        <v>132</v>
      </c>
      <c r="C40" s="63" t="s">
        <v>38</v>
      </c>
      <c r="D40" s="95"/>
      <c r="E40" s="62">
        <v>2372</v>
      </c>
      <c r="F40" s="63" t="s">
        <v>44</v>
      </c>
      <c r="G40" s="54">
        <v>1456</v>
      </c>
      <c r="H40" s="62"/>
      <c r="I40" s="64"/>
      <c r="J40" s="125"/>
      <c r="K40" s="271">
        <v>1303</v>
      </c>
      <c r="L40" s="272">
        <v>1303</v>
      </c>
      <c r="M40" s="274" t="s">
        <v>44</v>
      </c>
      <c r="N40" s="275"/>
      <c r="O40" s="272"/>
      <c r="P40" s="273"/>
      <c r="Q40" s="126">
        <v>1303</v>
      </c>
      <c r="R40" s="64">
        <v>1303</v>
      </c>
      <c r="S40" s="54" t="s">
        <v>44</v>
      </c>
      <c r="T40" s="62"/>
      <c r="U40" s="64"/>
      <c r="V40" s="125"/>
      <c r="W40" s="308">
        <v>1456</v>
      </c>
      <c r="X40" s="309" t="s">
        <v>220</v>
      </c>
      <c r="Y40" s="312" t="s">
        <v>220</v>
      </c>
      <c r="Z40" s="313"/>
      <c r="AA40" s="309"/>
      <c r="AB40" s="310"/>
      <c r="AC40" s="126">
        <v>2372</v>
      </c>
      <c r="AD40" s="63">
        <v>2372</v>
      </c>
      <c r="AE40" s="54" t="s">
        <v>44</v>
      </c>
      <c r="AF40" s="62"/>
      <c r="AG40" s="64"/>
      <c r="AH40" s="125">
        <v>1836</v>
      </c>
      <c r="AI40" s="146">
        <f t="shared" si="4"/>
        <v>211</v>
      </c>
      <c r="AJ40" s="147"/>
      <c r="AK40" s="147"/>
    </row>
    <row r="41" spans="1:65 16348:16348" ht="24" customHeight="1">
      <c r="A41" s="251">
        <v>212</v>
      </c>
      <c r="B41" s="73" t="s">
        <v>133</v>
      </c>
      <c r="C41" s="61" t="s">
        <v>120</v>
      </c>
      <c r="D41" s="69"/>
      <c r="E41" s="62">
        <v>765</v>
      </c>
      <c r="F41" s="63">
        <v>765</v>
      </c>
      <c r="G41" s="54" t="s">
        <v>134</v>
      </c>
      <c r="H41" s="62" t="s">
        <v>134</v>
      </c>
      <c r="I41" s="64" t="s">
        <v>134</v>
      </c>
      <c r="J41" s="127">
        <v>964</v>
      </c>
      <c r="K41" s="268" t="s">
        <v>134</v>
      </c>
      <c r="L41" s="269">
        <v>765</v>
      </c>
      <c r="M41" s="289">
        <v>765</v>
      </c>
      <c r="N41" s="275" t="s">
        <v>134</v>
      </c>
      <c r="O41" s="272" t="s">
        <v>134</v>
      </c>
      <c r="P41" s="273">
        <v>1581</v>
      </c>
      <c r="Q41" s="126" t="s">
        <v>134</v>
      </c>
      <c r="R41" s="64"/>
      <c r="S41" s="54"/>
      <c r="T41" s="62" t="s">
        <v>134</v>
      </c>
      <c r="U41" s="64" t="s">
        <v>134</v>
      </c>
      <c r="V41" s="127">
        <v>1581</v>
      </c>
      <c r="W41" s="305">
        <v>1581</v>
      </c>
      <c r="X41" s="306">
        <v>964</v>
      </c>
      <c r="Y41" s="326">
        <v>964</v>
      </c>
      <c r="Z41" s="313" t="s">
        <v>134</v>
      </c>
      <c r="AA41" s="309" t="s">
        <v>135</v>
      </c>
      <c r="AB41" s="311">
        <v>964</v>
      </c>
      <c r="AC41" s="126" t="s">
        <v>134</v>
      </c>
      <c r="AD41" s="63"/>
      <c r="AE41" s="54"/>
      <c r="AF41" s="62" t="s">
        <v>134</v>
      </c>
      <c r="AG41" s="64" t="s">
        <v>134</v>
      </c>
      <c r="AH41" s="127" t="s">
        <v>96</v>
      </c>
      <c r="AI41" s="146">
        <f t="shared" si="4"/>
        <v>212</v>
      </c>
      <c r="AJ41" s="147"/>
      <c r="AK41" s="147"/>
    </row>
    <row r="42" spans="1:65 16348:16348" ht="24" customHeight="1">
      <c r="A42" s="251">
        <v>212</v>
      </c>
      <c r="B42" s="73"/>
      <c r="C42" s="61"/>
      <c r="D42" s="69" t="s">
        <v>211</v>
      </c>
      <c r="E42" s="62"/>
      <c r="F42" s="63"/>
      <c r="G42" s="99"/>
      <c r="H42" s="62"/>
      <c r="I42" s="64"/>
      <c r="J42" s="127"/>
      <c r="K42" s="268"/>
      <c r="L42" s="269"/>
      <c r="M42" s="289"/>
      <c r="N42" s="275"/>
      <c r="O42" s="272"/>
      <c r="P42" s="273"/>
      <c r="Q42" s="126"/>
      <c r="R42" s="64"/>
      <c r="S42" s="54"/>
      <c r="T42" s="62">
        <v>2455</v>
      </c>
      <c r="U42" s="64">
        <v>2455</v>
      </c>
      <c r="V42" s="127"/>
      <c r="W42" s="305"/>
      <c r="X42" s="306"/>
      <c r="Y42" s="326"/>
      <c r="Z42" s="313"/>
      <c r="AA42" s="309"/>
      <c r="AB42" s="311"/>
      <c r="AC42" s="126"/>
      <c r="AD42" s="63"/>
      <c r="AE42" s="54"/>
      <c r="AF42" s="62">
        <v>2455</v>
      </c>
      <c r="AG42" s="64">
        <v>2455</v>
      </c>
      <c r="AH42" s="127"/>
      <c r="AI42" s="146"/>
      <c r="AJ42" s="147"/>
      <c r="AK42" s="147"/>
    </row>
    <row r="43" spans="1:65 16348:16348" ht="24" customHeight="1">
      <c r="A43" s="250">
        <v>213</v>
      </c>
      <c r="B43" s="60" t="s">
        <v>97</v>
      </c>
      <c r="C43" s="61" t="s">
        <v>60</v>
      </c>
      <c r="D43" s="54"/>
      <c r="E43" s="62" t="s">
        <v>35</v>
      </c>
      <c r="F43" s="63" t="s">
        <v>31</v>
      </c>
      <c r="G43" s="99" t="s">
        <v>63</v>
      </c>
      <c r="H43" s="62"/>
      <c r="I43" s="64"/>
      <c r="J43" s="125"/>
      <c r="K43" s="271" t="s">
        <v>63</v>
      </c>
      <c r="L43" s="272"/>
      <c r="M43" s="274"/>
      <c r="N43" s="275"/>
      <c r="O43" s="272"/>
      <c r="P43" s="273"/>
      <c r="Q43" s="126" t="s">
        <v>194</v>
      </c>
      <c r="R43" s="64" t="s">
        <v>215</v>
      </c>
      <c r="S43" s="54" t="s">
        <v>63</v>
      </c>
      <c r="T43" s="62"/>
      <c r="U43" s="64"/>
      <c r="V43" s="125"/>
      <c r="W43" s="308" t="s">
        <v>63</v>
      </c>
      <c r="X43" s="309"/>
      <c r="Y43" s="312"/>
      <c r="Z43" s="313"/>
      <c r="AA43" s="309"/>
      <c r="AB43" s="310"/>
      <c r="AC43" s="126" t="s">
        <v>35</v>
      </c>
      <c r="AD43" s="63" t="s">
        <v>225</v>
      </c>
      <c r="AE43" s="54" t="s">
        <v>51</v>
      </c>
      <c r="AF43" s="348" t="s">
        <v>232</v>
      </c>
      <c r="AG43" s="64"/>
      <c r="AH43" s="125"/>
      <c r="AI43" s="146">
        <f t="shared" si="4"/>
        <v>213</v>
      </c>
      <c r="AJ43" s="148"/>
      <c r="AK43" s="148"/>
    </row>
    <row r="44" spans="1:65 16348:16348" ht="24" customHeight="1">
      <c r="A44" s="250">
        <v>214</v>
      </c>
      <c r="B44" s="60"/>
      <c r="C44" s="61"/>
      <c r="D44" s="54"/>
      <c r="E44" s="62"/>
      <c r="F44" s="63"/>
      <c r="G44" s="99"/>
      <c r="H44" s="62"/>
      <c r="I44" s="64"/>
      <c r="J44" s="125"/>
      <c r="K44" s="271"/>
      <c r="L44" s="272"/>
      <c r="M44" s="274"/>
      <c r="N44" s="275"/>
      <c r="O44" s="272"/>
      <c r="P44" s="273"/>
      <c r="Q44" s="126"/>
      <c r="R44" s="64"/>
      <c r="S44" s="54"/>
      <c r="T44" s="62"/>
      <c r="U44" s="64"/>
      <c r="V44" s="125"/>
      <c r="W44" s="308"/>
      <c r="X44" s="309"/>
      <c r="Y44" s="312"/>
      <c r="Z44" s="313"/>
      <c r="AA44" s="309"/>
      <c r="AB44" s="310"/>
      <c r="AC44" s="126"/>
      <c r="AD44" s="63"/>
      <c r="AE44" s="54"/>
      <c r="AF44" s="62"/>
      <c r="AG44" s="64"/>
      <c r="AH44" s="125"/>
      <c r="AI44" s="146">
        <f>A44</f>
        <v>214</v>
      </c>
      <c r="AJ44" s="148"/>
      <c r="AK44" s="148"/>
    </row>
    <row r="45" spans="1:65 16348:16348" ht="24" customHeight="1">
      <c r="A45" s="250">
        <v>215</v>
      </c>
      <c r="B45" s="70" t="s">
        <v>132</v>
      </c>
      <c r="C45" s="63" t="s">
        <v>46</v>
      </c>
      <c r="D45" s="54"/>
      <c r="E45" s="62"/>
      <c r="F45" s="63" t="s">
        <v>136</v>
      </c>
      <c r="G45" s="54" t="s">
        <v>50</v>
      </c>
      <c r="H45" s="62" t="s">
        <v>50</v>
      </c>
      <c r="I45" s="64"/>
      <c r="J45" s="125"/>
      <c r="K45" s="271"/>
      <c r="L45" s="272" t="s">
        <v>136</v>
      </c>
      <c r="M45" s="274" t="s">
        <v>136</v>
      </c>
      <c r="N45" s="275" t="s">
        <v>191</v>
      </c>
      <c r="O45" s="272"/>
      <c r="P45" s="273"/>
      <c r="Q45" s="126"/>
      <c r="R45" s="64" t="s">
        <v>34</v>
      </c>
      <c r="S45" s="54" t="s">
        <v>34</v>
      </c>
      <c r="T45" s="62" t="s">
        <v>136</v>
      </c>
      <c r="U45" s="64"/>
      <c r="V45" s="125"/>
      <c r="W45" s="308"/>
      <c r="X45" s="309" t="s">
        <v>220</v>
      </c>
      <c r="Y45" s="312" t="s">
        <v>220</v>
      </c>
      <c r="Z45" s="275" t="s">
        <v>224</v>
      </c>
      <c r="AA45" s="309"/>
      <c r="AB45" s="310"/>
      <c r="AC45" s="126"/>
      <c r="AD45" s="63">
        <v>2448</v>
      </c>
      <c r="AE45" s="54">
        <v>2448</v>
      </c>
      <c r="AF45" s="62" t="s">
        <v>50</v>
      </c>
      <c r="AG45" s="64"/>
      <c r="AH45" s="125"/>
      <c r="AI45" s="146">
        <f t="shared" ref="AI45" si="5">A45</f>
        <v>215</v>
      </c>
      <c r="AJ45" s="148"/>
      <c r="AK45" s="148"/>
      <c r="AL45" t="s">
        <v>10</v>
      </c>
    </row>
    <row r="46" spans="1:65 16348:16348" ht="24" customHeight="1">
      <c r="A46" s="250">
        <v>216</v>
      </c>
      <c r="B46" s="60" t="s">
        <v>65</v>
      </c>
      <c r="C46" s="63" t="s">
        <v>138</v>
      </c>
      <c r="D46" s="54"/>
      <c r="E46" s="62"/>
      <c r="F46" s="63">
        <v>2387</v>
      </c>
      <c r="G46" s="54">
        <v>1534</v>
      </c>
      <c r="H46" s="62" t="s">
        <v>114</v>
      </c>
      <c r="I46" s="64">
        <v>2387</v>
      </c>
      <c r="J46" s="125"/>
      <c r="K46" s="271"/>
      <c r="L46" s="272"/>
      <c r="M46" s="272" t="s">
        <v>235</v>
      </c>
      <c r="N46" s="275">
        <v>2387</v>
      </c>
      <c r="O46" s="342" t="s">
        <v>192</v>
      </c>
      <c r="P46" s="273"/>
      <c r="Q46" s="126"/>
      <c r="R46" s="64"/>
      <c r="S46" s="54"/>
      <c r="T46" s="62"/>
      <c r="U46" s="64"/>
      <c r="V46" s="125"/>
      <c r="W46" s="308"/>
      <c r="X46" s="309">
        <v>2387</v>
      </c>
      <c r="Y46" s="312" t="s">
        <v>221</v>
      </c>
      <c r="Z46" s="313" t="s">
        <v>139</v>
      </c>
      <c r="AA46" s="309" t="s">
        <v>139</v>
      </c>
      <c r="AB46" s="310"/>
      <c r="AC46" s="126"/>
      <c r="AD46" s="63"/>
      <c r="AE46" s="54"/>
      <c r="AF46" s="62"/>
      <c r="AG46" s="64"/>
      <c r="AH46" s="125"/>
      <c r="AI46" s="146">
        <f>A46</f>
        <v>216</v>
      </c>
      <c r="AJ46" s="148"/>
      <c r="AK46" s="148"/>
      <c r="AL46" t="s">
        <v>10</v>
      </c>
    </row>
    <row r="47" spans="1:65 16348:16348" ht="24" customHeight="1">
      <c r="A47" s="250">
        <v>217</v>
      </c>
      <c r="B47" s="60"/>
      <c r="C47" s="63"/>
      <c r="D47" s="54"/>
      <c r="E47" s="62"/>
      <c r="F47" s="63"/>
      <c r="G47" s="54"/>
      <c r="H47" s="62"/>
      <c r="I47" s="64"/>
      <c r="J47" s="125"/>
      <c r="K47" s="271"/>
      <c r="L47" s="272"/>
      <c r="M47" s="274"/>
      <c r="N47" s="275"/>
      <c r="O47" s="272"/>
      <c r="P47" s="273"/>
      <c r="Q47" s="126"/>
      <c r="R47" s="64"/>
      <c r="S47" s="54"/>
      <c r="T47" s="62"/>
      <c r="U47" s="64"/>
      <c r="V47" s="125"/>
      <c r="W47" s="308"/>
      <c r="X47" s="309"/>
      <c r="Y47" s="312"/>
      <c r="Z47" s="313"/>
      <c r="AA47" s="309"/>
      <c r="AB47" s="310"/>
      <c r="AC47" s="126"/>
      <c r="AD47" s="63"/>
      <c r="AE47" s="54"/>
      <c r="AF47" s="62"/>
      <c r="AG47" s="64"/>
      <c r="AH47" s="125"/>
      <c r="AI47" s="146">
        <f t="shared" ref="AI47:AI49" si="6">A47</f>
        <v>217</v>
      </c>
      <c r="AJ47" s="148"/>
      <c r="AK47" s="148"/>
    </row>
    <row r="48" spans="1:65 16348:16348" ht="24" customHeight="1">
      <c r="A48" s="242">
        <v>218</v>
      </c>
      <c r="B48" s="96" t="s">
        <v>58</v>
      </c>
      <c r="C48" s="61" t="s">
        <v>120</v>
      </c>
      <c r="D48" s="69"/>
      <c r="E48" s="62"/>
      <c r="F48" s="359"/>
      <c r="G48" s="360"/>
      <c r="H48" s="348" t="s">
        <v>208</v>
      </c>
      <c r="I48" s="64" t="s">
        <v>121</v>
      </c>
      <c r="J48" s="125" t="s">
        <v>121</v>
      </c>
      <c r="K48" s="362"/>
      <c r="L48" s="363"/>
      <c r="M48" s="364"/>
      <c r="N48" s="376" t="s">
        <v>190</v>
      </c>
      <c r="O48" s="363" t="s">
        <v>190</v>
      </c>
      <c r="P48" s="375">
        <v>2536</v>
      </c>
      <c r="Q48" s="367"/>
      <c r="R48" s="361"/>
      <c r="S48" s="360"/>
      <c r="T48" s="62">
        <v>98</v>
      </c>
      <c r="U48" s="64" t="s">
        <v>121</v>
      </c>
      <c r="V48" s="125" t="s">
        <v>121</v>
      </c>
      <c r="W48" s="367"/>
      <c r="X48" s="361"/>
      <c r="Y48" s="368"/>
      <c r="Z48" s="365" t="s">
        <v>190</v>
      </c>
      <c r="AA48" s="366" t="s">
        <v>190</v>
      </c>
      <c r="AB48" s="310">
        <v>1567</v>
      </c>
      <c r="AC48" s="367"/>
      <c r="AD48" s="359"/>
      <c r="AE48" s="360"/>
      <c r="AF48" s="62">
        <v>1567</v>
      </c>
      <c r="AG48" s="64">
        <v>1567</v>
      </c>
      <c r="AH48" s="125">
        <v>98</v>
      </c>
      <c r="AI48" s="146">
        <f t="shared" si="6"/>
        <v>218</v>
      </c>
      <c r="AJ48" s="60"/>
      <c r="AK48" s="63"/>
      <c r="AL48" s="54"/>
      <c r="AM48" s="62"/>
      <c r="AN48" s="63"/>
      <c r="AO48" s="54"/>
      <c r="AP48" s="62"/>
      <c r="AQ48" s="64"/>
      <c r="AR48" s="125"/>
      <c r="AS48" s="126"/>
      <c r="AT48" s="64"/>
      <c r="AU48" s="54"/>
      <c r="AV48" s="62"/>
      <c r="AW48" s="64"/>
      <c r="AX48" s="125"/>
      <c r="AY48" s="126"/>
      <c r="AZ48" s="64"/>
      <c r="BA48" s="54"/>
      <c r="BB48" s="62"/>
      <c r="BC48" s="64"/>
      <c r="BD48" s="125"/>
      <c r="BE48" s="126"/>
      <c r="BF48" s="64"/>
      <c r="BG48" s="54"/>
      <c r="BH48" s="62"/>
      <c r="BI48" s="64"/>
      <c r="BJ48" s="145"/>
      <c r="BK48" s="126"/>
      <c r="BL48" s="63"/>
      <c r="BM48" s="54"/>
    </row>
    <row r="49" spans="1:65" ht="24" customHeight="1">
      <c r="A49" s="239" t="s">
        <v>141</v>
      </c>
      <c r="B49" s="60" t="s">
        <v>103</v>
      </c>
      <c r="C49" s="63" t="s">
        <v>138</v>
      </c>
      <c r="D49" s="54"/>
      <c r="E49" s="348" t="s">
        <v>206</v>
      </c>
      <c r="F49" s="377" t="s">
        <v>223</v>
      </c>
      <c r="G49" s="54" t="s">
        <v>142</v>
      </c>
      <c r="H49" s="62">
        <v>2040</v>
      </c>
      <c r="I49" s="64">
        <v>2040</v>
      </c>
      <c r="J49" s="125"/>
      <c r="K49" s="271" t="s">
        <v>143</v>
      </c>
      <c r="L49" s="272" t="s">
        <v>143</v>
      </c>
      <c r="M49" s="274" t="s">
        <v>144</v>
      </c>
      <c r="N49" s="275" t="s">
        <v>144</v>
      </c>
      <c r="O49" s="272" t="s">
        <v>144</v>
      </c>
      <c r="P49" s="273"/>
      <c r="Q49" s="126" t="s">
        <v>108</v>
      </c>
      <c r="R49" s="64"/>
      <c r="S49" s="54"/>
      <c r="T49" s="348" t="s">
        <v>196</v>
      </c>
      <c r="U49" s="259" t="s">
        <v>196</v>
      </c>
      <c r="V49" s="125"/>
      <c r="W49" s="308">
        <v>2095</v>
      </c>
      <c r="X49" s="309" t="s">
        <v>218</v>
      </c>
      <c r="Y49" s="274" t="s">
        <v>223</v>
      </c>
      <c r="Z49" s="313" t="s">
        <v>145</v>
      </c>
      <c r="AA49" s="309" t="s">
        <v>145</v>
      </c>
      <c r="AB49" s="310"/>
      <c r="AC49" s="126">
        <v>2095</v>
      </c>
      <c r="AD49" s="63"/>
      <c r="AE49" s="260"/>
      <c r="AF49" s="261" t="s">
        <v>140</v>
      </c>
      <c r="AG49" s="261" t="s">
        <v>140</v>
      </c>
      <c r="AH49" s="127"/>
      <c r="AI49" s="146" t="str">
        <f t="shared" si="6"/>
        <v>219-A</v>
      </c>
      <c r="AJ49" s="256"/>
      <c r="AK49" s="256"/>
      <c r="AL49" s="256"/>
      <c r="AM49" s="256"/>
      <c r="AN49" s="256"/>
      <c r="AO49" s="256"/>
      <c r="AP49" s="256"/>
      <c r="AQ49" s="256"/>
      <c r="AR49" s="257"/>
      <c r="AS49" s="256"/>
      <c r="AT49" s="256"/>
      <c r="AU49" s="256"/>
      <c r="AV49" s="256"/>
      <c r="AW49" s="256"/>
      <c r="AX49" s="257"/>
      <c r="AY49" s="256"/>
      <c r="AZ49" s="256"/>
      <c r="BA49" s="256"/>
      <c r="BB49" s="256"/>
      <c r="BC49" s="256"/>
      <c r="BD49" s="257"/>
      <c r="BE49" s="256"/>
      <c r="BF49" s="256"/>
      <c r="BG49" s="256"/>
      <c r="BH49" s="256"/>
      <c r="BI49" s="256"/>
      <c r="BJ49" s="258"/>
      <c r="BK49" s="256"/>
      <c r="BL49" s="256"/>
      <c r="BM49" s="256"/>
    </row>
    <row r="50" spans="1:65" ht="24" customHeight="1">
      <c r="A50" s="242">
        <v>219</v>
      </c>
      <c r="B50" s="60"/>
      <c r="C50" s="63"/>
      <c r="D50" s="54"/>
      <c r="E50" s="348"/>
      <c r="F50" s="377"/>
      <c r="G50" s="54"/>
      <c r="H50" s="62"/>
      <c r="I50" s="64"/>
      <c r="J50" s="125"/>
      <c r="K50" s="271"/>
      <c r="L50" s="272"/>
      <c r="M50" s="274"/>
      <c r="N50" s="275"/>
      <c r="O50" s="272"/>
      <c r="P50" s="273"/>
      <c r="Q50" s="126"/>
      <c r="R50" s="64"/>
      <c r="S50" s="54"/>
      <c r="T50" s="348">
        <v>1246</v>
      </c>
      <c r="U50" s="259">
        <v>1246</v>
      </c>
      <c r="V50" s="125"/>
      <c r="W50" s="308"/>
      <c r="X50" s="309"/>
      <c r="Y50" s="274"/>
      <c r="Z50" s="313"/>
      <c r="AA50" s="309"/>
      <c r="AB50" s="310"/>
      <c r="AC50" s="126"/>
      <c r="AD50" s="63"/>
      <c r="AE50" s="260"/>
      <c r="AF50" s="261"/>
      <c r="AG50" s="261"/>
      <c r="AH50" s="127"/>
      <c r="AI50" s="146">
        <f>A50</f>
        <v>219</v>
      </c>
    </row>
    <row r="51" spans="1:65" ht="24" customHeight="1">
      <c r="A51" s="250">
        <v>220</v>
      </c>
      <c r="B51" s="96" t="s">
        <v>58</v>
      </c>
      <c r="C51" s="61" t="s">
        <v>46</v>
      </c>
      <c r="D51" s="100"/>
      <c r="E51" s="62"/>
      <c r="F51" s="63"/>
      <c r="G51" s="54" t="s">
        <v>148</v>
      </c>
      <c r="H51" s="62" t="s">
        <v>148</v>
      </c>
      <c r="I51" s="64" t="s">
        <v>148</v>
      </c>
      <c r="J51" s="127"/>
      <c r="K51" s="271"/>
      <c r="L51" s="272"/>
      <c r="M51" s="274" t="s">
        <v>137</v>
      </c>
      <c r="N51" s="275"/>
      <c r="O51" s="272"/>
      <c r="P51" s="273"/>
      <c r="Q51" s="126"/>
      <c r="R51" s="64"/>
      <c r="S51" s="54" t="s">
        <v>216</v>
      </c>
      <c r="T51" s="62" t="s">
        <v>149</v>
      </c>
      <c r="U51" s="64" t="s">
        <v>149</v>
      </c>
      <c r="V51" s="127"/>
      <c r="W51" s="308"/>
      <c r="X51" s="309"/>
      <c r="Y51" s="312" t="s">
        <v>150</v>
      </c>
      <c r="Z51" s="313"/>
      <c r="AA51" s="309"/>
      <c r="AB51" s="311"/>
      <c r="AC51" s="126"/>
      <c r="AD51" s="63"/>
      <c r="AE51" s="54" t="s">
        <v>199</v>
      </c>
      <c r="AF51" s="62" t="s">
        <v>199</v>
      </c>
      <c r="AG51" s="64" t="s">
        <v>199</v>
      </c>
      <c r="AH51" s="127"/>
      <c r="AI51" s="146">
        <f t="shared" ref="AI51:AI58" si="7">A51</f>
        <v>220</v>
      </c>
      <c r="AJ51" s="147"/>
      <c r="AK51" s="147"/>
    </row>
    <row r="52" spans="1:65" ht="24" customHeight="1" thickBot="1">
      <c r="A52" s="252">
        <v>221</v>
      </c>
      <c r="B52" s="101" t="s">
        <v>115</v>
      </c>
      <c r="C52" s="102" t="s">
        <v>46</v>
      </c>
      <c r="D52" s="103"/>
      <c r="E52" s="104"/>
      <c r="F52" s="105"/>
      <c r="G52" s="72">
        <v>2453</v>
      </c>
      <c r="H52" s="355" t="s">
        <v>203</v>
      </c>
      <c r="I52" s="356" t="s">
        <v>203</v>
      </c>
      <c r="J52" s="137"/>
      <c r="K52" s="290"/>
      <c r="L52" s="291"/>
      <c r="M52" s="292">
        <v>2453</v>
      </c>
      <c r="N52" s="343" t="s">
        <v>193</v>
      </c>
      <c r="O52" s="344" t="s">
        <v>193</v>
      </c>
      <c r="P52" s="293"/>
      <c r="Q52" s="138"/>
      <c r="R52" s="136"/>
      <c r="S52" s="347" t="s">
        <v>195</v>
      </c>
      <c r="T52" s="104"/>
      <c r="U52" s="136"/>
      <c r="V52" s="137"/>
      <c r="W52" s="328"/>
      <c r="X52" s="329"/>
      <c r="Y52" s="330">
        <v>2453</v>
      </c>
      <c r="Z52" s="331" t="s">
        <v>187</v>
      </c>
      <c r="AA52" s="329">
        <v>2101</v>
      </c>
      <c r="AB52" s="332"/>
      <c r="AC52" s="138"/>
      <c r="AD52" s="105"/>
      <c r="AE52" s="72">
        <v>2101</v>
      </c>
      <c r="AF52" s="104"/>
      <c r="AG52" s="136"/>
      <c r="AH52" s="137"/>
      <c r="AI52" s="146">
        <f t="shared" si="7"/>
        <v>221</v>
      </c>
      <c r="AJ52" s="147"/>
      <c r="AK52" s="147"/>
    </row>
    <row r="53" spans="1:65" ht="24" customHeight="1" thickTop="1">
      <c r="A53" s="248">
        <v>301</v>
      </c>
      <c r="B53" s="107" t="s">
        <v>103</v>
      </c>
      <c r="C53" s="108" t="s">
        <v>68</v>
      </c>
      <c r="D53" s="106"/>
      <c r="E53" s="109" t="s">
        <v>151</v>
      </c>
      <c r="F53" s="108" t="s">
        <v>151</v>
      </c>
      <c r="G53" s="354" t="s">
        <v>201</v>
      </c>
      <c r="H53" s="352" t="s">
        <v>201</v>
      </c>
      <c r="I53" s="353" t="s">
        <v>201</v>
      </c>
      <c r="J53" s="140"/>
      <c r="K53" s="294" t="s">
        <v>151</v>
      </c>
      <c r="L53" s="295">
        <v>1384</v>
      </c>
      <c r="M53" s="296">
        <v>1384</v>
      </c>
      <c r="N53" s="297">
        <v>2401</v>
      </c>
      <c r="O53" s="295" t="s">
        <v>95</v>
      </c>
      <c r="P53" s="298"/>
      <c r="Q53" s="141">
        <v>1567</v>
      </c>
      <c r="R53" s="139"/>
      <c r="S53" s="106"/>
      <c r="T53" s="109">
        <v>1152</v>
      </c>
      <c r="U53" s="139">
        <v>1152</v>
      </c>
      <c r="V53" s="140"/>
      <c r="W53" s="333" t="s">
        <v>151</v>
      </c>
      <c r="X53" s="334" t="s">
        <v>89</v>
      </c>
      <c r="Y53" s="335">
        <v>1152</v>
      </c>
      <c r="Z53" s="336" t="s">
        <v>95</v>
      </c>
      <c r="AA53" s="334" t="s">
        <v>95</v>
      </c>
      <c r="AB53" s="337"/>
      <c r="AC53" s="141">
        <v>2401</v>
      </c>
      <c r="AD53" s="108"/>
      <c r="AE53" s="106"/>
      <c r="AF53" s="109" t="s">
        <v>89</v>
      </c>
      <c r="AG53" s="139" t="s">
        <v>89</v>
      </c>
      <c r="AH53" s="140"/>
      <c r="AI53" s="146">
        <f t="shared" si="7"/>
        <v>301</v>
      </c>
      <c r="AJ53" s="147"/>
      <c r="AK53" s="147"/>
    </row>
    <row r="54" spans="1:65" ht="24" customHeight="1">
      <c r="A54" s="254" t="s">
        <v>152</v>
      </c>
      <c r="B54" s="110" t="s">
        <v>103</v>
      </c>
      <c r="C54" s="61" t="s">
        <v>120</v>
      </c>
      <c r="D54" s="54"/>
      <c r="E54" s="64" t="s">
        <v>126</v>
      </c>
      <c r="F54" s="64">
        <v>2543</v>
      </c>
      <c r="G54" s="54" t="s">
        <v>153</v>
      </c>
      <c r="H54" s="62" t="s">
        <v>154</v>
      </c>
      <c r="I54" s="64" t="s">
        <v>154</v>
      </c>
      <c r="J54" s="125" t="s">
        <v>233</v>
      </c>
      <c r="K54" s="271" t="s">
        <v>153</v>
      </c>
      <c r="L54" s="272">
        <v>964</v>
      </c>
      <c r="M54" s="274">
        <v>964</v>
      </c>
      <c r="N54" s="275" t="s">
        <v>155</v>
      </c>
      <c r="O54" s="272" t="s">
        <v>155</v>
      </c>
      <c r="P54" s="273"/>
      <c r="Q54" s="126" t="s">
        <v>153</v>
      </c>
      <c r="R54" s="64"/>
      <c r="S54" s="54"/>
      <c r="T54" s="349" t="s">
        <v>197</v>
      </c>
      <c r="U54" s="350" t="s">
        <v>197</v>
      </c>
      <c r="V54" s="125"/>
      <c r="W54" s="308">
        <v>964</v>
      </c>
      <c r="X54" s="309" t="s">
        <v>126</v>
      </c>
      <c r="Y54" s="312" t="s">
        <v>126</v>
      </c>
      <c r="Z54" s="313" t="s">
        <v>154</v>
      </c>
      <c r="AA54" s="272" t="s">
        <v>198</v>
      </c>
      <c r="AB54" s="310"/>
      <c r="AC54" s="126" t="s">
        <v>153</v>
      </c>
      <c r="AD54" s="63"/>
      <c r="AE54" s="54"/>
      <c r="AF54" s="62">
        <v>2163</v>
      </c>
      <c r="AG54" s="64" t="s">
        <v>154</v>
      </c>
      <c r="AH54" s="125"/>
      <c r="AI54" s="240" t="str">
        <f t="shared" si="7"/>
        <v>301-A</v>
      </c>
    </row>
    <row r="55" spans="1:65" ht="24" customHeight="1" thickBot="1">
      <c r="A55" s="242">
        <v>302</v>
      </c>
      <c r="B55" s="115" t="s">
        <v>84</v>
      </c>
      <c r="C55" s="116" t="s">
        <v>38</v>
      </c>
      <c r="D55" s="54"/>
      <c r="E55" s="369" t="s">
        <v>207</v>
      </c>
      <c r="F55" s="116">
        <v>2206</v>
      </c>
      <c r="G55" s="117">
        <v>2023</v>
      </c>
      <c r="H55" s="346" t="s">
        <v>200</v>
      </c>
      <c r="I55" s="351" t="s">
        <v>200</v>
      </c>
      <c r="J55" s="142"/>
      <c r="K55" s="271">
        <v>1602</v>
      </c>
      <c r="L55" s="272"/>
      <c r="M55" s="274"/>
      <c r="N55" s="275">
        <v>2023</v>
      </c>
      <c r="O55" s="272">
        <v>2023</v>
      </c>
      <c r="P55" s="273"/>
      <c r="Q55" s="126">
        <v>1602</v>
      </c>
      <c r="R55" s="259" t="s">
        <v>156</v>
      </c>
      <c r="S55" s="260" t="s">
        <v>156</v>
      </c>
      <c r="T55" s="117" t="s">
        <v>56</v>
      </c>
      <c r="U55" s="117" t="s">
        <v>56</v>
      </c>
      <c r="V55" s="125"/>
      <c r="W55" s="308">
        <v>2206</v>
      </c>
      <c r="X55" s="309"/>
      <c r="Y55" s="312"/>
      <c r="Z55" s="340" t="s">
        <v>163</v>
      </c>
      <c r="AA55" s="340" t="s">
        <v>163</v>
      </c>
      <c r="AB55" s="310"/>
      <c r="AC55" s="143" t="s">
        <v>164</v>
      </c>
      <c r="AD55" s="116">
        <v>1602</v>
      </c>
      <c r="AE55" s="117" t="s">
        <v>156</v>
      </c>
      <c r="AF55" s="117">
        <v>2206</v>
      </c>
      <c r="AG55" s="117">
        <v>2206</v>
      </c>
      <c r="AH55" s="125"/>
      <c r="AI55" s="146">
        <f t="shared" si="7"/>
        <v>302</v>
      </c>
    </row>
    <row r="56" spans="1:65" ht="24" customHeight="1" thickTop="1">
      <c r="A56" s="241">
        <v>303</v>
      </c>
      <c r="B56" s="371" t="s">
        <v>103</v>
      </c>
      <c r="C56" s="111" t="s">
        <v>60</v>
      </c>
      <c r="D56" s="112"/>
      <c r="E56" s="58"/>
      <c r="F56" s="56"/>
      <c r="G56" s="65" t="s">
        <v>35</v>
      </c>
      <c r="H56" s="58" t="s">
        <v>35</v>
      </c>
      <c r="I56" s="59">
        <v>1357</v>
      </c>
      <c r="J56" s="123"/>
      <c r="K56" s="268">
        <v>1357</v>
      </c>
      <c r="L56" s="269" t="s">
        <v>73</v>
      </c>
      <c r="M56" s="289">
        <v>2040</v>
      </c>
      <c r="N56" s="299">
        <v>2040</v>
      </c>
      <c r="O56" s="269"/>
      <c r="P56" s="270"/>
      <c r="Q56" s="124" t="s">
        <v>55</v>
      </c>
      <c r="R56" s="59"/>
      <c r="S56" s="65"/>
      <c r="T56" s="58" t="s">
        <v>31</v>
      </c>
      <c r="U56" s="59"/>
      <c r="V56" s="123"/>
      <c r="W56" s="305">
        <v>1567</v>
      </c>
      <c r="X56" s="306">
        <v>1246</v>
      </c>
      <c r="Y56" s="326">
        <v>2040</v>
      </c>
      <c r="Z56" s="338" t="s">
        <v>73</v>
      </c>
      <c r="AA56" s="306" t="s">
        <v>73</v>
      </c>
      <c r="AB56" s="307"/>
      <c r="AC56" s="124" t="s">
        <v>55</v>
      </c>
      <c r="AD56" s="56"/>
      <c r="AE56" s="65"/>
      <c r="AF56" s="58" t="s">
        <v>31</v>
      </c>
      <c r="AG56" s="59" t="s">
        <v>31</v>
      </c>
      <c r="AH56" s="123"/>
      <c r="AI56" s="146">
        <f t="shared" si="7"/>
        <v>303</v>
      </c>
    </row>
    <row r="57" spans="1:65" ht="24" customHeight="1">
      <c r="A57" s="242">
        <v>304</v>
      </c>
      <c r="B57" s="372" t="s">
        <v>101</v>
      </c>
      <c r="C57" s="370" t="s">
        <v>116</v>
      </c>
      <c r="D57" s="94"/>
      <c r="E57" s="62"/>
      <c r="F57" s="63"/>
      <c r="G57" s="54">
        <v>2095</v>
      </c>
      <c r="H57" s="62">
        <v>2095</v>
      </c>
      <c r="I57" s="64">
        <v>1534</v>
      </c>
      <c r="J57" s="125">
        <v>1534</v>
      </c>
      <c r="K57" s="271"/>
      <c r="L57" s="272"/>
      <c r="M57" s="274"/>
      <c r="N57" s="357" t="s">
        <v>190</v>
      </c>
      <c r="O57" s="357" t="s">
        <v>190</v>
      </c>
      <c r="P57" s="62" t="s">
        <v>140</v>
      </c>
      <c r="Q57" s="126"/>
      <c r="R57" s="64"/>
      <c r="S57" s="54">
        <v>1534</v>
      </c>
      <c r="T57" s="62" t="s">
        <v>140</v>
      </c>
      <c r="U57" s="62" t="s">
        <v>140</v>
      </c>
      <c r="V57" s="62" t="s">
        <v>140</v>
      </c>
      <c r="W57" s="308"/>
      <c r="X57" s="309"/>
      <c r="Y57" s="312">
        <v>1246</v>
      </c>
      <c r="Z57" s="357" t="s">
        <v>190</v>
      </c>
      <c r="AA57" s="358" t="s">
        <v>190</v>
      </c>
      <c r="AB57" s="310">
        <v>1534</v>
      </c>
      <c r="AC57" s="126"/>
      <c r="AD57" s="63"/>
      <c r="AE57" s="54">
        <v>1534</v>
      </c>
      <c r="AF57" s="62">
        <v>2095</v>
      </c>
      <c r="AG57" s="64">
        <v>2095</v>
      </c>
      <c r="AH57" s="125"/>
      <c r="AI57" s="146">
        <f t="shared" si="7"/>
        <v>304</v>
      </c>
    </row>
    <row r="58" spans="1:65" ht="24" customHeight="1">
      <c r="A58" s="241">
        <v>305</v>
      </c>
      <c r="B58" s="66" t="s">
        <v>84</v>
      </c>
      <c r="C58" s="61" t="s">
        <v>78</v>
      </c>
      <c r="D58" s="69"/>
      <c r="E58" s="62"/>
      <c r="F58" s="63" t="s">
        <v>35</v>
      </c>
      <c r="G58" s="54" t="s">
        <v>146</v>
      </c>
      <c r="H58" s="62" t="s">
        <v>146</v>
      </c>
      <c r="I58" s="64">
        <v>2023</v>
      </c>
      <c r="J58" s="127"/>
      <c r="K58" s="271">
        <v>2023</v>
      </c>
      <c r="L58" s="272"/>
      <c r="M58" s="274"/>
      <c r="N58" s="275">
        <v>2472</v>
      </c>
      <c r="O58" s="272">
        <v>2472</v>
      </c>
      <c r="P58" s="273"/>
      <c r="Q58" s="126">
        <v>992</v>
      </c>
      <c r="R58" s="64">
        <v>992</v>
      </c>
      <c r="S58" s="54" t="s">
        <v>146</v>
      </c>
      <c r="T58" s="62" t="s">
        <v>146</v>
      </c>
      <c r="U58" s="64" t="s">
        <v>74</v>
      </c>
      <c r="V58" s="127"/>
      <c r="W58" s="308">
        <v>992</v>
      </c>
      <c r="X58" s="309" t="s">
        <v>92</v>
      </c>
      <c r="Y58" s="312" t="s">
        <v>92</v>
      </c>
      <c r="Z58" s="313">
        <v>2472</v>
      </c>
      <c r="AA58" s="309">
        <v>2472</v>
      </c>
      <c r="AB58" s="311"/>
      <c r="AC58" s="126">
        <v>1567</v>
      </c>
      <c r="AD58" s="63" t="s">
        <v>74</v>
      </c>
      <c r="AE58" s="54" t="s">
        <v>74</v>
      </c>
      <c r="AF58" s="62" t="s">
        <v>35</v>
      </c>
      <c r="AG58" s="64" t="s">
        <v>147</v>
      </c>
      <c r="AH58" s="127"/>
      <c r="AI58" s="146">
        <f t="shared" si="7"/>
        <v>305</v>
      </c>
      <c r="AJ58" s="148"/>
      <c r="AK58" s="148"/>
    </row>
    <row r="59" spans="1:65" ht="24" customHeight="1">
      <c r="A59" s="242">
        <v>306</v>
      </c>
      <c r="B59" s="55"/>
      <c r="C59" s="111"/>
      <c r="D59" s="112" t="s">
        <v>157</v>
      </c>
      <c r="E59" s="62"/>
      <c r="F59" s="63"/>
      <c r="G59" s="54"/>
      <c r="H59" s="62"/>
      <c r="I59" s="64"/>
      <c r="J59" s="125"/>
      <c r="K59" s="271"/>
      <c r="L59" s="272"/>
      <c r="M59" s="274"/>
      <c r="N59" s="313">
        <v>2476</v>
      </c>
      <c r="O59" s="309">
        <v>2476</v>
      </c>
      <c r="P59" s="273"/>
      <c r="Q59" s="126"/>
      <c r="R59" s="64"/>
      <c r="S59" s="260"/>
      <c r="T59" s="62"/>
      <c r="U59" s="64"/>
      <c r="V59" s="125"/>
      <c r="W59" s="308"/>
      <c r="X59" s="309"/>
      <c r="Y59" s="312"/>
      <c r="Z59" s="313">
        <v>2476</v>
      </c>
      <c r="AA59" s="309">
        <v>2476</v>
      </c>
      <c r="AB59" s="310"/>
      <c r="AC59" s="126"/>
      <c r="AD59" s="63"/>
      <c r="AE59" s="54"/>
      <c r="AF59" s="62"/>
      <c r="AG59" s="64"/>
      <c r="AH59" s="125"/>
      <c r="AI59" s="146">
        <f t="shared" ref="AI59:AI61" si="8">A59</f>
        <v>306</v>
      </c>
    </row>
    <row r="60" spans="1:65" ht="24" customHeight="1">
      <c r="A60" s="241">
        <v>307</v>
      </c>
      <c r="B60" s="73" t="s">
        <v>122</v>
      </c>
      <c r="C60" s="63" t="s">
        <v>120</v>
      </c>
      <c r="D60" s="54"/>
      <c r="E60" s="62"/>
      <c r="F60" s="63"/>
      <c r="G60" s="54">
        <v>1153</v>
      </c>
      <c r="H60" s="62">
        <v>765</v>
      </c>
      <c r="I60" s="64">
        <v>765</v>
      </c>
      <c r="J60" s="125"/>
      <c r="K60" s="271"/>
      <c r="L60" s="272"/>
      <c r="M60" s="274">
        <v>1153</v>
      </c>
      <c r="N60" s="275">
        <v>1579</v>
      </c>
      <c r="O60" s="272">
        <v>765</v>
      </c>
      <c r="P60" s="273"/>
      <c r="Q60" s="126"/>
      <c r="R60" s="64"/>
      <c r="S60" s="54">
        <v>1246</v>
      </c>
      <c r="T60" s="62">
        <v>1153</v>
      </c>
      <c r="U60" s="64">
        <v>1579</v>
      </c>
      <c r="V60" s="125"/>
      <c r="W60" s="308"/>
      <c r="X60" s="309"/>
      <c r="Y60" s="312">
        <v>1153</v>
      </c>
      <c r="Z60" s="313" t="s">
        <v>158</v>
      </c>
      <c r="AA60" s="309" t="s">
        <v>158</v>
      </c>
      <c r="AB60" s="310"/>
      <c r="AC60" s="126"/>
      <c r="AD60" s="63"/>
      <c r="AE60" s="54">
        <v>1153</v>
      </c>
      <c r="AF60" s="62">
        <v>765</v>
      </c>
      <c r="AG60" s="64">
        <v>1579</v>
      </c>
      <c r="AH60" s="125"/>
      <c r="AI60" s="146">
        <f t="shared" si="8"/>
        <v>307</v>
      </c>
    </row>
    <row r="61" spans="1:65" ht="24" customHeight="1">
      <c r="A61" s="241">
        <v>308</v>
      </c>
      <c r="B61" s="113" t="s">
        <v>113</v>
      </c>
      <c r="C61" s="111" t="s">
        <v>68</v>
      </c>
      <c r="D61" s="112"/>
      <c r="E61" s="62">
        <v>1602</v>
      </c>
      <c r="F61" s="63">
        <v>1602</v>
      </c>
      <c r="G61" s="54"/>
      <c r="H61" s="62" t="s">
        <v>114</v>
      </c>
      <c r="I61" s="64">
        <v>2401</v>
      </c>
      <c r="J61" s="125" t="s">
        <v>89</v>
      </c>
      <c r="K61" s="271"/>
      <c r="L61" s="272"/>
      <c r="M61" s="274"/>
      <c r="N61" s="275" t="s">
        <v>72</v>
      </c>
      <c r="O61" s="272">
        <v>1384</v>
      </c>
      <c r="P61" s="273" t="s">
        <v>89</v>
      </c>
      <c r="Q61" s="126"/>
      <c r="R61" s="64"/>
      <c r="S61" s="54"/>
      <c r="T61" s="62"/>
      <c r="U61" s="64"/>
      <c r="V61" s="125" t="s">
        <v>89</v>
      </c>
      <c r="W61" s="308"/>
      <c r="X61" s="309"/>
      <c r="Y61" s="312">
        <v>1602</v>
      </c>
      <c r="Z61" s="313" t="s">
        <v>72</v>
      </c>
      <c r="AA61" s="309" t="s">
        <v>72</v>
      </c>
      <c r="AB61" s="310">
        <v>2401</v>
      </c>
      <c r="AC61" s="126"/>
      <c r="AD61" s="63"/>
      <c r="AE61" s="54"/>
      <c r="AF61" s="58"/>
      <c r="AG61" s="59"/>
      <c r="AH61" s="123">
        <v>1384</v>
      </c>
      <c r="AI61" s="146">
        <f t="shared" si="8"/>
        <v>308</v>
      </c>
    </row>
    <row r="62" spans="1:65" ht="24" customHeight="1">
      <c r="A62" s="255">
        <v>309</v>
      </c>
      <c r="B62" s="55" t="s">
        <v>159</v>
      </c>
      <c r="C62" s="114" t="s">
        <v>120</v>
      </c>
      <c r="D62" s="112"/>
      <c r="E62" s="58"/>
      <c r="F62" s="56"/>
      <c r="G62" s="65"/>
      <c r="H62" s="58">
        <v>2525</v>
      </c>
      <c r="I62" s="59" t="s">
        <v>160</v>
      </c>
      <c r="J62" s="123" t="s">
        <v>161</v>
      </c>
      <c r="K62" s="268"/>
      <c r="L62" s="269"/>
      <c r="M62" s="289"/>
      <c r="N62" s="299" t="s">
        <v>160</v>
      </c>
      <c r="O62" s="269" t="s">
        <v>161</v>
      </c>
      <c r="P62" s="270" t="s">
        <v>160</v>
      </c>
      <c r="Q62" s="124"/>
      <c r="R62" s="59"/>
      <c r="S62" s="65"/>
      <c r="T62" s="58"/>
      <c r="U62" s="59"/>
      <c r="V62" s="123" t="s">
        <v>160</v>
      </c>
      <c r="W62" s="305"/>
      <c r="X62" s="306"/>
      <c r="Y62" s="326"/>
      <c r="Z62" s="338" t="s">
        <v>161</v>
      </c>
      <c r="AA62" s="306">
        <v>2525</v>
      </c>
      <c r="AB62" s="307">
        <v>2525</v>
      </c>
      <c r="AC62" s="124"/>
      <c r="AD62" s="56"/>
      <c r="AE62" s="65"/>
      <c r="AF62" s="58"/>
      <c r="AG62" s="59"/>
      <c r="AH62" s="123">
        <v>2525</v>
      </c>
      <c r="AI62" s="146">
        <f t="shared" ref="AI62:AI64" si="9">A62</f>
        <v>309</v>
      </c>
    </row>
    <row r="63" spans="1:65" ht="24" customHeight="1" thickBot="1">
      <c r="A63" s="249" t="s">
        <v>162</v>
      </c>
      <c r="B63" s="66" t="s">
        <v>59</v>
      </c>
      <c r="C63" s="61" t="s">
        <v>38</v>
      </c>
      <c r="D63" s="374" t="s">
        <v>210</v>
      </c>
      <c r="H63" s="64" t="s">
        <v>44</v>
      </c>
      <c r="I63" s="64">
        <v>2372</v>
      </c>
      <c r="J63" s="125">
        <v>2372</v>
      </c>
      <c r="K63" s="300"/>
      <c r="L63" s="301"/>
      <c r="M63" s="301"/>
      <c r="N63" s="301">
        <v>2451</v>
      </c>
      <c r="O63" s="301">
        <v>2451</v>
      </c>
      <c r="P63" s="273" t="s">
        <v>156</v>
      </c>
      <c r="Q63" s="143"/>
      <c r="R63" s="346"/>
      <c r="S63" s="346"/>
      <c r="T63" s="64" t="s">
        <v>44</v>
      </c>
      <c r="U63" s="64" t="s">
        <v>44</v>
      </c>
      <c r="V63" s="144">
        <v>2372</v>
      </c>
      <c r="W63" s="339"/>
      <c r="X63" s="340"/>
      <c r="Y63" s="340"/>
      <c r="Z63" s="301">
        <v>2451</v>
      </c>
      <c r="AA63" s="301">
        <v>2451</v>
      </c>
      <c r="AB63" s="310" t="s">
        <v>204</v>
      </c>
      <c r="AF63" s="259" t="s">
        <v>156</v>
      </c>
      <c r="AG63" s="259" t="s">
        <v>156</v>
      </c>
      <c r="AH63" s="125" t="s">
        <v>44</v>
      </c>
      <c r="AI63" s="240" t="str">
        <f t="shared" si="9"/>
        <v>309-A</v>
      </c>
    </row>
    <row r="64" spans="1:65" ht="24" customHeight="1" thickTop="1">
      <c r="A64" s="250">
        <v>310</v>
      </c>
      <c r="B64" s="71"/>
      <c r="C64" s="61"/>
      <c r="D64" s="69"/>
      <c r="E64" s="62"/>
      <c r="F64" s="63"/>
      <c r="G64" s="64"/>
      <c r="H64" s="64"/>
      <c r="I64" s="64"/>
      <c r="J64" s="127"/>
      <c r="K64" s="271"/>
      <c r="L64" s="272"/>
      <c r="M64" s="272"/>
      <c r="N64" s="272"/>
      <c r="O64" s="272"/>
      <c r="P64" s="273"/>
      <c r="Q64" s="126"/>
      <c r="R64" s="64"/>
      <c r="S64" s="64"/>
      <c r="T64" s="64"/>
      <c r="U64" s="64"/>
      <c r="V64" s="127"/>
      <c r="W64" s="308"/>
      <c r="X64" s="309"/>
      <c r="Y64" s="309"/>
      <c r="Z64" s="309"/>
      <c r="AA64" s="309"/>
      <c r="AB64" s="311"/>
      <c r="AC64" s="126"/>
      <c r="AD64" s="63"/>
      <c r="AE64" s="64"/>
      <c r="AF64" s="64"/>
      <c r="AG64" s="64"/>
      <c r="AH64" s="127"/>
      <c r="AI64" s="146">
        <f t="shared" si="9"/>
        <v>310</v>
      </c>
    </row>
    <row r="65" spans="1:40" ht="24" customHeight="1">
      <c r="A65" s="242">
        <v>311</v>
      </c>
      <c r="B65" s="118" t="s">
        <v>165</v>
      </c>
      <c r="C65" s="119" t="s">
        <v>138</v>
      </c>
      <c r="D65" s="120"/>
      <c r="E65" s="62"/>
      <c r="F65" s="63"/>
      <c r="G65" s="54"/>
      <c r="H65" s="62">
        <v>1602</v>
      </c>
      <c r="I65" s="64" t="s">
        <v>32</v>
      </c>
      <c r="J65" s="127" t="s">
        <v>32</v>
      </c>
      <c r="K65" s="271"/>
      <c r="L65" s="272"/>
      <c r="M65" s="274"/>
      <c r="N65" s="275"/>
      <c r="O65" s="272"/>
      <c r="P65" s="273" t="s">
        <v>144</v>
      </c>
      <c r="Q65" s="126"/>
      <c r="R65" s="64"/>
      <c r="S65" s="54"/>
      <c r="T65" s="62">
        <v>1602</v>
      </c>
      <c r="U65" s="64" t="s">
        <v>144</v>
      </c>
      <c r="V65" s="127" t="s">
        <v>144</v>
      </c>
      <c r="W65" s="308"/>
      <c r="X65" s="309"/>
      <c r="Y65" s="312"/>
      <c r="Z65" s="313"/>
      <c r="AA65" s="309"/>
      <c r="AB65" s="311" t="s">
        <v>32</v>
      </c>
      <c r="AC65" s="126"/>
      <c r="AD65" s="63"/>
      <c r="AE65" s="54"/>
      <c r="AF65" s="62">
        <v>2387</v>
      </c>
      <c r="AG65" s="64">
        <v>2387</v>
      </c>
      <c r="AH65" s="123" t="s">
        <v>96</v>
      </c>
      <c r="AI65" s="146">
        <f t="shared" ref="AI65:AI67" si="10">A65</f>
        <v>311</v>
      </c>
    </row>
    <row r="66" spans="1:40" ht="24" customHeight="1">
      <c r="A66" s="242">
        <v>312</v>
      </c>
      <c r="B66" s="60" t="s">
        <v>122</v>
      </c>
      <c r="C66" s="93" t="s">
        <v>138</v>
      </c>
      <c r="D66" s="69"/>
      <c r="E66" s="62"/>
      <c r="F66" s="63">
        <v>2095</v>
      </c>
      <c r="G66" s="54" t="s">
        <v>166</v>
      </c>
      <c r="H66" s="62" t="s">
        <v>166</v>
      </c>
      <c r="I66" s="64"/>
      <c r="J66" s="127"/>
      <c r="K66" s="271"/>
      <c r="L66" s="272" t="s">
        <v>166</v>
      </c>
      <c r="M66" s="274">
        <v>1865</v>
      </c>
      <c r="N66" s="275">
        <v>2453</v>
      </c>
      <c r="O66" s="272"/>
      <c r="P66" s="273"/>
      <c r="Q66" s="126"/>
      <c r="R66" s="64">
        <v>2453</v>
      </c>
      <c r="S66" s="54">
        <v>2453</v>
      </c>
      <c r="T66" s="62">
        <v>1865</v>
      </c>
      <c r="U66" s="64"/>
      <c r="V66" s="127"/>
      <c r="W66" s="308"/>
      <c r="X66" s="309">
        <v>2095</v>
      </c>
      <c r="Y66" s="312">
        <v>2095</v>
      </c>
      <c r="Z66" s="313">
        <v>2453</v>
      </c>
      <c r="AA66" s="309"/>
      <c r="AB66" s="311"/>
      <c r="AC66" s="126"/>
      <c r="AD66" s="63">
        <v>1567</v>
      </c>
      <c r="AE66" s="54">
        <v>2095</v>
      </c>
      <c r="AF66" s="62">
        <v>1865</v>
      </c>
      <c r="AG66" s="64"/>
      <c r="AH66" s="123"/>
      <c r="AI66" s="146">
        <f t="shared" si="10"/>
        <v>312</v>
      </c>
    </row>
    <row r="67" spans="1:40" ht="24" customHeight="1">
      <c r="A67" s="242">
        <v>313</v>
      </c>
      <c r="B67" s="66" t="s">
        <v>115</v>
      </c>
      <c r="C67" s="61" t="s">
        <v>120</v>
      </c>
      <c r="D67" s="69" t="s">
        <v>167</v>
      </c>
      <c r="E67" s="62"/>
      <c r="F67" s="63"/>
      <c r="G67" s="54"/>
      <c r="H67" s="62" t="s">
        <v>121</v>
      </c>
      <c r="I67" s="64">
        <v>964</v>
      </c>
      <c r="J67" s="264">
        <v>2543</v>
      </c>
      <c r="K67" s="271"/>
      <c r="L67" s="272"/>
      <c r="M67" s="274"/>
      <c r="N67" s="275" t="s">
        <v>154</v>
      </c>
      <c r="O67" s="272" t="s">
        <v>154</v>
      </c>
      <c r="P67" s="273">
        <v>964</v>
      </c>
      <c r="Q67" s="126"/>
      <c r="R67" s="64"/>
      <c r="S67" s="54"/>
      <c r="T67" s="62" t="s">
        <v>91</v>
      </c>
      <c r="U67" s="64" t="s">
        <v>91</v>
      </c>
      <c r="V67" s="127" t="s">
        <v>154</v>
      </c>
      <c r="W67" s="308"/>
      <c r="X67" s="309"/>
      <c r="Y67" s="312"/>
      <c r="Z67" s="313">
        <v>964</v>
      </c>
      <c r="AA67" s="309" t="s">
        <v>121</v>
      </c>
      <c r="AB67" s="311" t="s">
        <v>121</v>
      </c>
      <c r="AC67" s="126"/>
      <c r="AD67" s="63"/>
      <c r="AE67" s="54"/>
      <c r="AF67" s="62" t="s">
        <v>91</v>
      </c>
      <c r="AG67" s="64" t="s">
        <v>91</v>
      </c>
      <c r="AH67" s="127" t="s">
        <v>121</v>
      </c>
      <c r="AI67" s="146">
        <f t="shared" si="10"/>
        <v>313</v>
      </c>
    </row>
    <row r="68" spans="1:40" ht="24" customHeight="1">
      <c r="A68" s="250">
        <v>314</v>
      </c>
      <c r="B68" s="154" t="s">
        <v>58</v>
      </c>
      <c r="C68" s="93" t="s">
        <v>138</v>
      </c>
      <c r="D68" s="69"/>
      <c r="E68" s="62"/>
      <c r="F68" s="63"/>
      <c r="G68" s="54"/>
      <c r="H68" s="62">
        <v>2453</v>
      </c>
      <c r="I68" s="64">
        <v>2101</v>
      </c>
      <c r="J68" s="127">
        <v>2101</v>
      </c>
      <c r="K68" s="271"/>
      <c r="L68" s="272"/>
      <c r="M68" s="274"/>
      <c r="N68" s="275"/>
      <c r="O68" s="272"/>
      <c r="P68" s="273">
        <v>1602</v>
      </c>
      <c r="Q68" s="126"/>
      <c r="R68" s="64"/>
      <c r="S68" s="54"/>
      <c r="T68" s="62">
        <v>2453</v>
      </c>
      <c r="U68" s="64">
        <v>1534</v>
      </c>
      <c r="V68" s="127">
        <v>1534</v>
      </c>
      <c r="W68" s="308"/>
      <c r="X68" s="309"/>
      <c r="Y68" s="312"/>
      <c r="Z68" s="313"/>
      <c r="AA68" s="309"/>
      <c r="AB68" s="311">
        <v>2101</v>
      </c>
      <c r="AC68" s="126"/>
      <c r="AD68" s="63"/>
      <c r="AE68" s="54"/>
      <c r="AF68" s="62">
        <v>1602</v>
      </c>
      <c r="AG68" s="64">
        <v>1602</v>
      </c>
      <c r="AH68" s="127" t="s">
        <v>86</v>
      </c>
      <c r="AI68" s="146">
        <f t="shared" ref="AI68:AI70" si="11">A68</f>
        <v>314</v>
      </c>
    </row>
    <row r="69" spans="1:40" ht="24" customHeight="1">
      <c r="A69" s="242">
        <v>315</v>
      </c>
      <c r="B69" s="70" t="s">
        <v>59</v>
      </c>
      <c r="C69" s="61" t="s">
        <v>120</v>
      </c>
      <c r="D69" s="69"/>
      <c r="E69" s="62"/>
      <c r="F69" s="63"/>
      <c r="G69" s="64"/>
      <c r="H69" s="64">
        <v>2390</v>
      </c>
      <c r="I69" s="64">
        <v>1579</v>
      </c>
      <c r="J69" s="127">
        <v>1579</v>
      </c>
      <c r="K69" s="271"/>
      <c r="L69" s="272"/>
      <c r="M69" s="272"/>
      <c r="N69" s="272"/>
      <c r="O69" s="272"/>
      <c r="P69" s="273">
        <v>1579</v>
      </c>
      <c r="Q69" s="126"/>
      <c r="R69" s="64"/>
      <c r="S69" s="64">
        <v>1567</v>
      </c>
      <c r="T69" s="64" t="s">
        <v>29</v>
      </c>
      <c r="U69" s="156">
        <v>2390</v>
      </c>
      <c r="V69" s="127">
        <v>1579</v>
      </c>
      <c r="W69" s="308"/>
      <c r="X69" s="309"/>
      <c r="Y69" s="309"/>
      <c r="Z69" s="309"/>
      <c r="AA69" s="309"/>
      <c r="AB69" s="311" t="s">
        <v>29</v>
      </c>
      <c r="AC69" s="126"/>
      <c r="AD69" s="63"/>
      <c r="AE69" s="64"/>
      <c r="AF69" s="64">
        <v>2390</v>
      </c>
      <c r="AG69" s="64" t="s">
        <v>29</v>
      </c>
      <c r="AH69" s="127" t="s">
        <v>96</v>
      </c>
      <c r="AI69" s="146">
        <f t="shared" si="11"/>
        <v>315</v>
      </c>
    </row>
    <row r="70" spans="1:40" ht="24" customHeight="1">
      <c r="A70" s="250">
        <v>316</v>
      </c>
      <c r="B70" s="155" t="s">
        <v>122</v>
      </c>
      <c r="C70" s="61" t="s">
        <v>60</v>
      </c>
      <c r="D70" s="69"/>
      <c r="E70" s="62"/>
      <c r="F70" s="63"/>
      <c r="G70" s="54"/>
      <c r="H70" s="62" t="s">
        <v>74</v>
      </c>
      <c r="I70" s="64">
        <v>1990</v>
      </c>
      <c r="J70" s="127">
        <v>2448</v>
      </c>
      <c r="K70" s="271"/>
      <c r="L70" s="272"/>
      <c r="M70" s="274"/>
      <c r="N70" s="275" t="s">
        <v>168</v>
      </c>
      <c r="O70" s="272">
        <v>1990</v>
      </c>
      <c r="P70" s="273">
        <v>2448</v>
      </c>
      <c r="Q70" s="126"/>
      <c r="R70" s="64"/>
      <c r="S70" s="54"/>
      <c r="T70" s="62" t="s">
        <v>168</v>
      </c>
      <c r="U70" s="64">
        <v>1990</v>
      </c>
      <c r="V70" s="127">
        <v>2448</v>
      </c>
      <c r="W70" s="308"/>
      <c r="X70" s="309"/>
      <c r="Y70" s="312"/>
      <c r="Z70" s="313" t="s">
        <v>168</v>
      </c>
      <c r="AA70" s="309" t="s">
        <v>168</v>
      </c>
      <c r="AB70" s="311" t="s">
        <v>73</v>
      </c>
      <c r="AC70" s="126"/>
      <c r="AD70" s="63"/>
      <c r="AE70" s="54"/>
      <c r="AF70" s="348" t="s">
        <v>231</v>
      </c>
      <c r="AG70" s="64" t="s">
        <v>73</v>
      </c>
      <c r="AH70" s="127" t="s">
        <v>169</v>
      </c>
      <c r="AI70" s="146">
        <f t="shared" si="11"/>
        <v>316</v>
      </c>
    </row>
    <row r="73" spans="1:40" ht="24" customHeight="1">
      <c r="A73" s="242"/>
      <c r="B73" s="73"/>
      <c r="C73" s="61"/>
      <c r="D73" s="94"/>
      <c r="E73" s="62"/>
      <c r="F73" s="63"/>
      <c r="G73" s="54"/>
      <c r="H73" s="62"/>
      <c r="I73" s="64"/>
      <c r="J73" s="125"/>
      <c r="K73" s="271"/>
      <c r="L73" s="272"/>
      <c r="M73" s="274"/>
      <c r="N73" s="275"/>
      <c r="O73" s="272"/>
      <c r="P73" s="273"/>
      <c r="Q73" s="126"/>
      <c r="R73" s="64"/>
      <c r="S73" s="54"/>
      <c r="T73" s="62"/>
      <c r="U73" s="64"/>
      <c r="V73" s="125"/>
      <c r="W73" s="308"/>
      <c r="X73" s="309"/>
      <c r="Y73" s="312"/>
      <c r="Z73" s="313"/>
      <c r="AA73" s="309"/>
      <c r="AB73" s="310"/>
      <c r="AC73" s="126"/>
      <c r="AD73" s="63"/>
      <c r="AE73" s="54"/>
      <c r="AF73" s="62"/>
      <c r="AG73" s="64"/>
      <c r="AH73" s="125"/>
      <c r="AI73" s="146"/>
      <c r="AJ73" s="147"/>
      <c r="AK73" s="147"/>
      <c r="AN73" s="153"/>
    </row>
    <row r="76" spans="1:40">
      <c r="AF76" t="s">
        <v>10</v>
      </c>
    </row>
    <row r="77" spans="1:40" ht="18.75">
      <c r="A77" s="54"/>
      <c r="B77" s="73"/>
      <c r="C77" s="61"/>
      <c r="D77" s="94"/>
      <c r="E77" s="62"/>
      <c r="F77" s="63"/>
      <c r="G77" s="54"/>
      <c r="H77" s="62"/>
      <c r="I77" s="64"/>
      <c r="J77" s="125"/>
      <c r="K77" s="126"/>
      <c r="L77" s="64"/>
      <c r="M77" s="54"/>
      <c r="N77" s="62"/>
      <c r="O77" s="64"/>
      <c r="P77" s="125"/>
      <c r="Q77" s="126"/>
      <c r="R77" s="64"/>
      <c r="S77" s="54"/>
      <c r="T77" s="62"/>
      <c r="U77" s="64"/>
      <c r="V77" s="125"/>
      <c r="W77" s="126"/>
      <c r="X77" s="64"/>
      <c r="Y77" s="54"/>
      <c r="Z77" s="62"/>
      <c r="AA77" s="64"/>
      <c r="AB77" s="145"/>
      <c r="AC77" s="126"/>
      <c r="AD77" s="63"/>
      <c r="AE77" s="54"/>
      <c r="AF77" s="62"/>
      <c r="AG77" s="64"/>
      <c r="AH77" s="125"/>
    </row>
    <row r="319" spans="1:1">
      <c r="A319" s="5">
        <f>'concentrado nocturno'!A46</f>
        <v>216</v>
      </c>
    </row>
  </sheetData>
  <autoFilter ref="A5:NB77" xr:uid="{00000000-0009-0000-0000-000001000000}"/>
  <mergeCells count="13">
    <mergeCell ref="A1:AI1"/>
    <mergeCell ref="A2:AI2"/>
    <mergeCell ref="A3:AI3"/>
    <mergeCell ref="E4:J4"/>
    <mergeCell ref="K4:P4"/>
    <mergeCell ref="Q4:V4"/>
    <mergeCell ref="W4:AB4"/>
    <mergeCell ref="AC4:AH4"/>
    <mergeCell ref="A4:A5"/>
    <mergeCell ref="B4:B5"/>
    <mergeCell ref="C4:C5"/>
    <mergeCell ref="D4:D5"/>
    <mergeCell ref="AI4:AI5"/>
  </mergeCells>
  <conditionalFormatting sqref="E12">
    <cfRule type="duplicateValues" dxfId="913" priority="564"/>
  </conditionalFormatting>
  <conditionalFormatting sqref="E16">
    <cfRule type="duplicateValues" dxfId="912" priority="1047"/>
  </conditionalFormatting>
  <conditionalFormatting sqref="E19">
    <cfRule type="duplicateValues" dxfId="911" priority="927"/>
  </conditionalFormatting>
  <conditionalFormatting sqref="E21">
    <cfRule type="duplicateValues" dxfId="910" priority="987"/>
  </conditionalFormatting>
  <conditionalFormatting sqref="E27">
    <cfRule type="duplicateValues" dxfId="909" priority="747"/>
  </conditionalFormatting>
  <conditionalFormatting sqref="E36">
    <cfRule type="duplicateValues" dxfId="908" priority="254"/>
  </conditionalFormatting>
  <conditionalFormatting sqref="E48">
    <cfRule type="duplicateValues" dxfId="907" priority="378"/>
  </conditionalFormatting>
  <conditionalFormatting sqref="E49:E50">
    <cfRule type="duplicateValues" dxfId="906" priority="133"/>
  </conditionalFormatting>
  <conditionalFormatting sqref="E54">
    <cfRule type="duplicateValues" dxfId="905" priority="1107"/>
  </conditionalFormatting>
  <conditionalFormatting sqref="E55">
    <cfRule type="duplicateValues" dxfId="904" priority="807"/>
  </conditionalFormatting>
  <conditionalFormatting sqref="E58">
    <cfRule type="duplicateValues" dxfId="903" priority="192"/>
  </conditionalFormatting>
  <conditionalFormatting sqref="E64">
    <cfRule type="duplicateValues" dxfId="902" priority="957"/>
  </conditionalFormatting>
  <conditionalFormatting sqref="E67">
    <cfRule type="duplicateValues" dxfId="901" priority="1164"/>
  </conditionalFormatting>
  <conditionalFormatting sqref="E69">
    <cfRule type="duplicateValues" dxfId="900" priority="1017"/>
  </conditionalFormatting>
  <conditionalFormatting sqref="E73">
    <cfRule type="duplicateValues" dxfId="899" priority="53"/>
  </conditionalFormatting>
  <conditionalFormatting sqref="E77">
    <cfRule type="duplicateValues" dxfId="898" priority="316"/>
  </conditionalFormatting>
  <conditionalFormatting sqref="F12">
    <cfRule type="duplicateValues" dxfId="897" priority="565"/>
  </conditionalFormatting>
  <conditionalFormatting sqref="F16">
    <cfRule type="duplicateValues" dxfId="896" priority="1048"/>
  </conditionalFormatting>
  <conditionalFormatting sqref="F19">
    <cfRule type="duplicateValues" dxfId="895" priority="928"/>
  </conditionalFormatting>
  <conditionalFormatting sqref="F21">
    <cfRule type="duplicateValues" dxfId="894" priority="988"/>
  </conditionalFormatting>
  <conditionalFormatting sqref="F27">
    <cfRule type="duplicateValues" dxfId="893" priority="748"/>
  </conditionalFormatting>
  <conditionalFormatting sqref="F36">
    <cfRule type="duplicateValues" dxfId="892" priority="255"/>
  </conditionalFormatting>
  <conditionalFormatting sqref="F48">
    <cfRule type="duplicateValues" dxfId="891" priority="379"/>
  </conditionalFormatting>
  <conditionalFormatting sqref="F49:F50">
    <cfRule type="duplicateValues" dxfId="890" priority="134"/>
  </conditionalFormatting>
  <conditionalFormatting sqref="F54">
    <cfRule type="duplicateValues" dxfId="889" priority="1108"/>
  </conditionalFormatting>
  <conditionalFormatting sqref="F55">
    <cfRule type="duplicateValues" dxfId="888" priority="808"/>
  </conditionalFormatting>
  <conditionalFormatting sqref="F58">
    <cfRule type="duplicateValues" dxfId="887" priority="193"/>
  </conditionalFormatting>
  <conditionalFormatting sqref="F64">
    <cfRule type="duplicateValues" dxfId="886" priority="958"/>
  </conditionalFormatting>
  <conditionalFormatting sqref="F67">
    <cfRule type="duplicateValues" dxfId="885" priority="1165"/>
  </conditionalFormatting>
  <conditionalFormatting sqref="F69">
    <cfRule type="duplicateValues" dxfId="884" priority="1018"/>
  </conditionalFormatting>
  <conditionalFormatting sqref="F71:F72 F1:F5 F78:F1048576 F74:F76">
    <cfRule type="duplicateValues" dxfId="883" priority="2034"/>
  </conditionalFormatting>
  <conditionalFormatting sqref="F73">
    <cfRule type="duplicateValues" dxfId="882" priority="54"/>
  </conditionalFormatting>
  <conditionalFormatting sqref="F77">
    <cfRule type="duplicateValues" dxfId="881" priority="317"/>
  </conditionalFormatting>
  <conditionalFormatting sqref="G71:G72 G1:G5 G78:G1048576 G74:G76">
    <cfRule type="duplicateValues" dxfId="880" priority="1253"/>
  </conditionalFormatting>
  <conditionalFormatting sqref="G73">
    <cfRule type="duplicateValues" dxfId="879" priority="55"/>
  </conditionalFormatting>
  <conditionalFormatting sqref="G77">
    <cfRule type="duplicateValues" dxfId="878" priority="318"/>
  </conditionalFormatting>
  <conditionalFormatting sqref="H6:H70">
    <cfRule type="duplicateValues" priority="1"/>
  </conditionalFormatting>
  <conditionalFormatting sqref="H12">
    <cfRule type="duplicateValues" dxfId="877" priority="567"/>
  </conditionalFormatting>
  <conditionalFormatting sqref="H16">
    <cfRule type="duplicateValues" dxfId="876" priority="688"/>
  </conditionalFormatting>
  <conditionalFormatting sqref="H19">
    <cfRule type="duplicateValues" dxfId="875" priority="930"/>
  </conditionalFormatting>
  <conditionalFormatting sqref="H21">
    <cfRule type="duplicateValues" dxfId="874" priority="990"/>
  </conditionalFormatting>
  <conditionalFormatting sqref="H27">
    <cfRule type="duplicateValues" dxfId="873" priority="750"/>
  </conditionalFormatting>
  <conditionalFormatting sqref="H36">
    <cfRule type="duplicateValues" dxfId="872" priority="257"/>
  </conditionalFormatting>
  <conditionalFormatting sqref="H37">
    <cfRule type="duplicateValues" dxfId="871" priority="1137"/>
  </conditionalFormatting>
  <conditionalFormatting sqref="H49:H50">
    <cfRule type="duplicateValues" dxfId="870" priority="136"/>
  </conditionalFormatting>
  <conditionalFormatting sqref="H54">
    <cfRule type="duplicateValues" dxfId="869" priority="1110"/>
  </conditionalFormatting>
  <conditionalFormatting sqref="H55">
    <cfRule type="duplicateValues" dxfId="868" priority="810"/>
  </conditionalFormatting>
  <conditionalFormatting sqref="H58">
    <cfRule type="duplicateValues" dxfId="867" priority="195"/>
  </conditionalFormatting>
  <conditionalFormatting sqref="H63">
    <cfRule type="duplicateValues" dxfId="866" priority="505"/>
  </conditionalFormatting>
  <conditionalFormatting sqref="H64">
    <cfRule type="duplicateValues" dxfId="865" priority="960"/>
  </conditionalFormatting>
  <conditionalFormatting sqref="H67">
    <cfRule type="duplicateValues" dxfId="864" priority="1167"/>
  </conditionalFormatting>
  <conditionalFormatting sqref="H69">
    <cfRule type="duplicateValues" dxfId="863" priority="1020"/>
  </conditionalFormatting>
  <conditionalFormatting sqref="H71:H72 H1:H5 H78:H1048576 H74:H76">
    <cfRule type="duplicateValues" dxfId="862" priority="2032"/>
  </conditionalFormatting>
  <conditionalFormatting sqref="H73">
    <cfRule type="duplicateValues" dxfId="861" priority="56"/>
  </conditionalFormatting>
  <conditionalFormatting sqref="H77">
    <cfRule type="duplicateValues" dxfId="860" priority="319"/>
  </conditionalFormatting>
  <conditionalFormatting sqref="I7:I11 I13:I15 I17:I35 AQ48:AQ49 I59:I62 I64:I70 I51:I57 I37:I48">
    <cfRule type="duplicateValues" dxfId="859" priority="2848"/>
  </conditionalFormatting>
  <conditionalFormatting sqref="I12">
    <cfRule type="duplicateValues" dxfId="858" priority="533"/>
    <cfRule type="duplicateValues" dxfId="857" priority="568"/>
  </conditionalFormatting>
  <conditionalFormatting sqref="I16">
    <cfRule type="duplicateValues" dxfId="856" priority="657"/>
    <cfRule type="duplicateValues" dxfId="855" priority="689"/>
  </conditionalFormatting>
  <conditionalFormatting sqref="I19">
    <cfRule type="duplicateValues" dxfId="854" priority="931"/>
  </conditionalFormatting>
  <conditionalFormatting sqref="I21">
    <cfRule type="duplicateValues" dxfId="853" priority="991"/>
  </conditionalFormatting>
  <conditionalFormatting sqref="I27">
    <cfRule type="duplicateValues" dxfId="852" priority="751"/>
  </conditionalFormatting>
  <conditionalFormatting sqref="I36">
    <cfRule type="duplicateValues" dxfId="851" priority="258"/>
    <cfRule type="duplicateValues" dxfId="850" priority="223"/>
  </conditionalFormatting>
  <conditionalFormatting sqref="I37">
    <cfRule type="duplicateValues" dxfId="849" priority="1138"/>
  </conditionalFormatting>
  <conditionalFormatting sqref="I49:I50">
    <cfRule type="duplicateValues" dxfId="848" priority="106"/>
    <cfRule type="duplicateValues" dxfId="847" priority="137"/>
  </conditionalFormatting>
  <conditionalFormatting sqref="I54">
    <cfRule type="duplicateValues" dxfId="846" priority="1111"/>
  </conditionalFormatting>
  <conditionalFormatting sqref="I55">
    <cfRule type="duplicateValues" dxfId="845" priority="811"/>
  </conditionalFormatting>
  <conditionalFormatting sqref="I58">
    <cfRule type="duplicateValues" dxfId="844" priority="161"/>
    <cfRule type="duplicateValues" dxfId="843" priority="196"/>
  </conditionalFormatting>
  <conditionalFormatting sqref="I63">
    <cfRule type="duplicateValues" dxfId="842" priority="506"/>
    <cfRule type="duplicateValues" dxfId="841" priority="471"/>
  </conditionalFormatting>
  <conditionalFormatting sqref="I64">
    <cfRule type="duplicateValues" dxfId="840" priority="961"/>
  </conditionalFormatting>
  <conditionalFormatting sqref="I67">
    <cfRule type="duplicateValues" dxfId="839" priority="1168"/>
  </conditionalFormatting>
  <conditionalFormatting sqref="I69">
    <cfRule type="duplicateValues" dxfId="838" priority="1021"/>
  </conditionalFormatting>
  <conditionalFormatting sqref="I71:I72 I1:I5 I78:I1048576 I74:I76">
    <cfRule type="duplicateValues" dxfId="837" priority="2031"/>
  </conditionalFormatting>
  <conditionalFormatting sqref="I73">
    <cfRule type="duplicateValues" dxfId="836" priority="57"/>
    <cfRule type="duplicateValues" dxfId="835" priority="22"/>
  </conditionalFormatting>
  <conditionalFormatting sqref="I77">
    <cfRule type="duplicateValues" dxfId="834" priority="285"/>
    <cfRule type="duplicateValues" dxfId="833" priority="320"/>
  </conditionalFormatting>
  <conditionalFormatting sqref="J12">
    <cfRule type="duplicateValues" dxfId="832" priority="569"/>
  </conditionalFormatting>
  <conditionalFormatting sqref="J16">
    <cfRule type="duplicateValues" dxfId="831" priority="690"/>
  </conditionalFormatting>
  <conditionalFormatting sqref="J19">
    <cfRule type="duplicateValues" dxfId="830" priority="932"/>
  </conditionalFormatting>
  <conditionalFormatting sqref="J21">
    <cfRule type="duplicateValues" dxfId="829" priority="992"/>
  </conditionalFormatting>
  <conditionalFormatting sqref="J27">
    <cfRule type="duplicateValues" dxfId="828" priority="752"/>
  </conditionalFormatting>
  <conditionalFormatting sqref="J36">
    <cfRule type="duplicateValues" dxfId="827" priority="259"/>
  </conditionalFormatting>
  <conditionalFormatting sqref="J37">
    <cfRule type="duplicateValues" dxfId="826" priority="1139"/>
  </conditionalFormatting>
  <conditionalFormatting sqref="J49:J50">
    <cfRule type="duplicateValues" dxfId="825" priority="138"/>
  </conditionalFormatting>
  <conditionalFormatting sqref="J54">
    <cfRule type="duplicateValues" dxfId="824" priority="1112"/>
  </conditionalFormatting>
  <conditionalFormatting sqref="J55">
    <cfRule type="duplicateValues" dxfId="823" priority="812"/>
  </conditionalFormatting>
  <conditionalFormatting sqref="J58">
    <cfRule type="duplicateValues" dxfId="822" priority="197"/>
  </conditionalFormatting>
  <conditionalFormatting sqref="J63">
    <cfRule type="duplicateValues" dxfId="821" priority="507"/>
  </conditionalFormatting>
  <conditionalFormatting sqref="J64">
    <cfRule type="duplicateValues" dxfId="820" priority="962"/>
  </conditionalFormatting>
  <conditionalFormatting sqref="J67">
    <cfRule type="duplicateValues" dxfId="819" priority="1169"/>
  </conditionalFormatting>
  <conditionalFormatting sqref="J69">
    <cfRule type="duplicateValues" dxfId="818" priority="1022"/>
  </conditionalFormatting>
  <conditionalFormatting sqref="J71:J72 J1:J5 J78:J1048576 J74:J76">
    <cfRule type="duplicateValues" dxfId="817" priority="2030"/>
  </conditionalFormatting>
  <conditionalFormatting sqref="J73">
    <cfRule type="duplicateValues" dxfId="816" priority="58"/>
  </conditionalFormatting>
  <conditionalFormatting sqref="J77">
    <cfRule type="duplicateValues" dxfId="815" priority="321"/>
  </conditionalFormatting>
  <conditionalFormatting sqref="K6:K11 K13:K15 K17:K26 K28:K35 K37:K47 AS48:AS49 K59:K62 K64:K70 K51:K57">
    <cfRule type="duplicateValues" dxfId="814" priority="910"/>
  </conditionalFormatting>
  <conditionalFormatting sqref="K12">
    <cfRule type="duplicateValues" dxfId="813" priority="570"/>
    <cfRule type="duplicateValues" dxfId="812" priority="547"/>
  </conditionalFormatting>
  <conditionalFormatting sqref="K16">
    <cfRule type="duplicateValues" dxfId="811" priority="691"/>
    <cfRule type="duplicateValues" dxfId="810" priority="671"/>
  </conditionalFormatting>
  <conditionalFormatting sqref="K19">
    <cfRule type="duplicateValues" dxfId="809" priority="933"/>
  </conditionalFormatting>
  <conditionalFormatting sqref="K21">
    <cfRule type="duplicateValues" dxfId="808" priority="993"/>
  </conditionalFormatting>
  <conditionalFormatting sqref="K27">
    <cfRule type="duplicateValues" dxfId="807" priority="730"/>
    <cfRule type="duplicateValues" dxfId="806" priority="753"/>
  </conditionalFormatting>
  <conditionalFormatting sqref="K36">
    <cfRule type="duplicateValues" dxfId="805" priority="237"/>
    <cfRule type="duplicateValues" dxfId="804" priority="260"/>
  </conditionalFormatting>
  <conditionalFormatting sqref="K37">
    <cfRule type="duplicateValues" dxfId="803" priority="1140"/>
  </conditionalFormatting>
  <conditionalFormatting sqref="K48">
    <cfRule type="duplicateValues" dxfId="802" priority="384"/>
    <cfRule type="duplicateValues" dxfId="801" priority="361"/>
  </conditionalFormatting>
  <conditionalFormatting sqref="K49:K50">
    <cfRule type="duplicateValues" dxfId="800" priority="139"/>
    <cfRule type="duplicateValues" dxfId="799" priority="120"/>
  </conditionalFormatting>
  <conditionalFormatting sqref="K54">
    <cfRule type="duplicateValues" dxfId="798" priority="1113"/>
  </conditionalFormatting>
  <conditionalFormatting sqref="K58">
    <cfRule type="duplicateValues" dxfId="797" priority="175"/>
    <cfRule type="duplicateValues" dxfId="796" priority="198"/>
  </conditionalFormatting>
  <conditionalFormatting sqref="K63">
    <cfRule type="duplicateValues" dxfId="795" priority="813"/>
    <cfRule type="duplicateValues" dxfId="794" priority="790"/>
  </conditionalFormatting>
  <conditionalFormatting sqref="K64">
    <cfRule type="duplicateValues" dxfId="793" priority="963"/>
  </conditionalFormatting>
  <conditionalFormatting sqref="K67">
    <cfRule type="duplicateValues" dxfId="792" priority="1170"/>
  </conditionalFormatting>
  <conditionalFormatting sqref="K69">
    <cfRule type="duplicateValues" dxfId="791" priority="1023"/>
  </conditionalFormatting>
  <conditionalFormatting sqref="K71:K72 K1:K5 K78:K1048576 K74:K76">
    <cfRule type="duplicateValues" dxfId="790" priority="2029"/>
  </conditionalFormatting>
  <conditionalFormatting sqref="K73">
    <cfRule type="duplicateValues" dxfId="789" priority="36"/>
    <cfRule type="duplicateValues" dxfId="788" priority="59"/>
  </conditionalFormatting>
  <conditionalFormatting sqref="K77">
    <cfRule type="duplicateValues" dxfId="787" priority="322"/>
    <cfRule type="duplicateValues" dxfId="786" priority="299"/>
  </conditionalFormatting>
  <conditionalFormatting sqref="L6:L11 L13:L15 L17:L26 L28:L35 L37:L47 AT48:AT49 L59:L62 L64:L70 L51:L57">
    <cfRule type="duplicateValues" dxfId="785" priority="909"/>
  </conditionalFormatting>
  <conditionalFormatting sqref="L12">
    <cfRule type="duplicateValues" dxfId="784" priority="546"/>
    <cfRule type="duplicateValues" dxfId="783" priority="571"/>
  </conditionalFormatting>
  <conditionalFormatting sqref="L16">
    <cfRule type="duplicateValues" dxfId="782" priority="692"/>
    <cfRule type="duplicateValues" dxfId="781" priority="670"/>
  </conditionalFormatting>
  <conditionalFormatting sqref="L19">
    <cfRule type="duplicateValues" dxfId="780" priority="934"/>
  </conditionalFormatting>
  <conditionalFormatting sqref="L21">
    <cfRule type="duplicateValues" dxfId="779" priority="994"/>
  </conditionalFormatting>
  <conditionalFormatting sqref="L27">
    <cfRule type="duplicateValues" dxfId="778" priority="729"/>
    <cfRule type="duplicateValues" dxfId="777" priority="754"/>
  </conditionalFormatting>
  <conditionalFormatting sqref="L36">
    <cfRule type="duplicateValues" dxfId="776" priority="236"/>
    <cfRule type="duplicateValues" dxfId="775" priority="261"/>
  </conditionalFormatting>
  <conditionalFormatting sqref="L37">
    <cfRule type="duplicateValues" dxfId="774" priority="1141"/>
  </conditionalFormatting>
  <conditionalFormatting sqref="L48">
    <cfRule type="duplicateValues" dxfId="773" priority="360"/>
    <cfRule type="duplicateValues" dxfId="772" priority="385"/>
  </conditionalFormatting>
  <conditionalFormatting sqref="L49:L50">
    <cfRule type="duplicateValues" dxfId="771" priority="119"/>
    <cfRule type="duplicateValues" dxfId="770" priority="140"/>
  </conditionalFormatting>
  <conditionalFormatting sqref="L54">
    <cfRule type="duplicateValues" dxfId="769" priority="1114"/>
  </conditionalFormatting>
  <conditionalFormatting sqref="L58">
    <cfRule type="duplicateValues" dxfId="768" priority="199"/>
    <cfRule type="duplicateValues" dxfId="767" priority="174"/>
  </conditionalFormatting>
  <conditionalFormatting sqref="L63">
    <cfRule type="duplicateValues" dxfId="766" priority="814"/>
    <cfRule type="duplicateValues" dxfId="765" priority="789"/>
  </conditionalFormatting>
  <conditionalFormatting sqref="L64">
    <cfRule type="duplicateValues" dxfId="764" priority="964"/>
  </conditionalFormatting>
  <conditionalFormatting sqref="L67">
    <cfRule type="duplicateValues" dxfId="763" priority="1171"/>
  </conditionalFormatting>
  <conditionalFormatting sqref="L69">
    <cfRule type="duplicateValues" dxfId="762" priority="1024"/>
  </conditionalFormatting>
  <conditionalFormatting sqref="L71:L72 L1:L5 L78:L1048576 L74:L76">
    <cfRule type="duplicateValues" dxfId="761" priority="2028"/>
  </conditionalFormatting>
  <conditionalFormatting sqref="L73">
    <cfRule type="duplicateValues" dxfId="760" priority="35"/>
    <cfRule type="duplicateValues" dxfId="759" priority="60"/>
  </conditionalFormatting>
  <conditionalFormatting sqref="L77">
    <cfRule type="duplicateValues" dxfId="758" priority="298"/>
    <cfRule type="duplicateValues" dxfId="757" priority="323"/>
  </conditionalFormatting>
  <conditionalFormatting sqref="M6:M11 M13:M15 M17:M26 M28:M35 M37:M45 AU48:AU49 M59:M62 M64:M70 M51:M57 M47">
    <cfRule type="duplicateValues" dxfId="756" priority="908"/>
  </conditionalFormatting>
  <conditionalFormatting sqref="M12">
    <cfRule type="duplicateValues" dxfId="755" priority="572"/>
    <cfRule type="duplicateValues" dxfId="754" priority="545"/>
  </conditionalFormatting>
  <conditionalFormatting sqref="M16">
    <cfRule type="duplicateValues" dxfId="753" priority="693"/>
    <cfRule type="duplicateValues" dxfId="752" priority="669"/>
  </conditionalFormatting>
  <conditionalFormatting sqref="M19">
    <cfRule type="duplicateValues" dxfId="751" priority="935"/>
  </conditionalFormatting>
  <conditionalFormatting sqref="M21">
    <cfRule type="duplicateValues" dxfId="750" priority="995"/>
  </conditionalFormatting>
  <conditionalFormatting sqref="M27">
    <cfRule type="duplicateValues" dxfId="749" priority="755"/>
    <cfRule type="duplicateValues" dxfId="748" priority="728"/>
  </conditionalFormatting>
  <conditionalFormatting sqref="M36">
    <cfRule type="duplicateValues" dxfId="747" priority="262"/>
    <cfRule type="duplicateValues" dxfId="746" priority="235"/>
  </conditionalFormatting>
  <conditionalFormatting sqref="M37">
    <cfRule type="duplicateValues" dxfId="745" priority="1142"/>
  </conditionalFormatting>
  <conditionalFormatting sqref="M46">
    <cfRule type="duplicateValues" dxfId="744" priority="103"/>
    <cfRule type="duplicateValues" dxfId="743" priority="104"/>
  </conditionalFormatting>
  <conditionalFormatting sqref="M48">
    <cfRule type="duplicateValues" dxfId="742" priority="386"/>
    <cfRule type="duplicateValues" dxfId="741" priority="359"/>
  </conditionalFormatting>
  <conditionalFormatting sqref="M49:M50">
    <cfRule type="duplicateValues" dxfId="740" priority="141"/>
    <cfRule type="duplicateValues" dxfId="739" priority="118"/>
  </conditionalFormatting>
  <conditionalFormatting sqref="M54">
    <cfRule type="duplicateValues" dxfId="738" priority="1115"/>
  </conditionalFormatting>
  <conditionalFormatting sqref="M58">
    <cfRule type="duplicateValues" dxfId="737" priority="173"/>
    <cfRule type="duplicateValues" dxfId="736" priority="200"/>
  </conditionalFormatting>
  <conditionalFormatting sqref="M63">
    <cfRule type="duplicateValues" dxfId="735" priority="788"/>
    <cfRule type="duplicateValues" dxfId="734" priority="815"/>
  </conditionalFormatting>
  <conditionalFormatting sqref="M64">
    <cfRule type="duplicateValues" dxfId="733" priority="965"/>
  </conditionalFormatting>
  <conditionalFormatting sqref="M67">
    <cfRule type="duplicateValues" dxfId="732" priority="1172"/>
  </conditionalFormatting>
  <conditionalFormatting sqref="M69">
    <cfRule type="duplicateValues" dxfId="731" priority="1025"/>
  </conditionalFormatting>
  <conditionalFormatting sqref="M71:M72 M1:M5 M78:M1048576 M74:M76">
    <cfRule type="duplicateValues" dxfId="730" priority="2027"/>
  </conditionalFormatting>
  <conditionalFormatting sqref="M73">
    <cfRule type="duplicateValues" dxfId="729" priority="34"/>
    <cfRule type="duplicateValues" dxfId="728" priority="61"/>
  </conditionalFormatting>
  <conditionalFormatting sqref="M77">
    <cfRule type="duplicateValues" dxfId="727" priority="324"/>
    <cfRule type="duplicateValues" dxfId="726" priority="297"/>
  </conditionalFormatting>
  <conditionalFormatting sqref="N6:N11 N13:N15 N17:N26 N28:N35 N37:N47 AV48:AV49 N60:N62 N64:N70 N51:N56">
    <cfRule type="duplicateValues" dxfId="725" priority="907"/>
  </conditionalFormatting>
  <conditionalFormatting sqref="N6:N11 N13:N15 N17:N35 N37:N47 AV48:AV49 N60:N71 N51:N56">
    <cfRule type="duplicateValues" dxfId="724" priority="715"/>
  </conditionalFormatting>
  <conditionalFormatting sqref="N12">
    <cfRule type="duplicateValues" dxfId="723" priority="573"/>
    <cfRule type="duplicateValues" dxfId="722" priority="544"/>
    <cfRule type="duplicateValues" dxfId="721" priority="532"/>
  </conditionalFormatting>
  <conditionalFormatting sqref="N16">
    <cfRule type="duplicateValues" dxfId="720" priority="694"/>
    <cfRule type="duplicateValues" dxfId="719" priority="656"/>
    <cfRule type="duplicateValues" dxfId="718" priority="668"/>
  </conditionalFormatting>
  <conditionalFormatting sqref="N19">
    <cfRule type="duplicateValues" dxfId="717" priority="936"/>
  </conditionalFormatting>
  <conditionalFormatting sqref="N21">
    <cfRule type="duplicateValues" dxfId="716" priority="996"/>
  </conditionalFormatting>
  <conditionalFormatting sqref="N27">
    <cfRule type="duplicateValues" dxfId="715" priority="756"/>
    <cfRule type="duplicateValues" dxfId="714" priority="727"/>
  </conditionalFormatting>
  <conditionalFormatting sqref="N36">
    <cfRule type="duplicateValues" dxfId="713" priority="222"/>
    <cfRule type="duplicateValues" dxfId="712" priority="263"/>
    <cfRule type="duplicateValues" dxfId="711" priority="234"/>
  </conditionalFormatting>
  <conditionalFormatting sqref="N37">
    <cfRule type="duplicateValues" dxfId="710" priority="1143"/>
  </conditionalFormatting>
  <conditionalFormatting sqref="N48">
    <cfRule type="duplicateValues" dxfId="709" priority="346"/>
    <cfRule type="duplicateValues" dxfId="708" priority="358"/>
    <cfRule type="duplicateValues" dxfId="707" priority="387"/>
  </conditionalFormatting>
  <conditionalFormatting sqref="N49:N50">
    <cfRule type="duplicateValues" dxfId="706" priority="117"/>
    <cfRule type="duplicateValues" dxfId="705" priority="142"/>
    <cfRule type="duplicateValues" dxfId="704" priority="105"/>
  </conditionalFormatting>
  <conditionalFormatting sqref="N54">
    <cfRule type="duplicateValues" dxfId="703" priority="1116"/>
  </conditionalFormatting>
  <conditionalFormatting sqref="N57">
    <cfRule type="duplicateValues" dxfId="702" priority="10"/>
    <cfRule type="duplicateValues" dxfId="701" priority="11"/>
    <cfRule type="duplicateValues" dxfId="700" priority="12"/>
  </conditionalFormatting>
  <conditionalFormatting sqref="N58">
    <cfRule type="duplicateValues" dxfId="699" priority="201"/>
    <cfRule type="duplicateValues" dxfId="698" priority="172"/>
    <cfRule type="duplicateValues" dxfId="697" priority="160"/>
  </conditionalFormatting>
  <conditionalFormatting sqref="N59">
    <cfRule type="duplicateValues" priority="95"/>
    <cfRule type="duplicateValues" dxfId="696" priority="96"/>
    <cfRule type="duplicateValues" dxfId="695" priority="94"/>
  </conditionalFormatting>
  <conditionalFormatting sqref="N63">
    <cfRule type="duplicateValues" dxfId="694" priority="787"/>
    <cfRule type="duplicateValues" dxfId="693" priority="816"/>
  </conditionalFormatting>
  <conditionalFormatting sqref="N64">
    <cfRule type="duplicateValues" dxfId="692" priority="966"/>
  </conditionalFormatting>
  <conditionalFormatting sqref="N67">
    <cfRule type="duplicateValues" dxfId="691" priority="1173"/>
  </conditionalFormatting>
  <conditionalFormatting sqref="N69">
    <cfRule type="duplicateValues" dxfId="690" priority="1026"/>
  </conditionalFormatting>
  <conditionalFormatting sqref="N71:N72 N1:N5 N78:N1048576 N74:N76">
    <cfRule type="duplicateValues" dxfId="689" priority="2026"/>
  </conditionalFormatting>
  <conditionalFormatting sqref="N73">
    <cfRule type="duplicateValues" dxfId="688" priority="62"/>
    <cfRule type="duplicateValues" dxfId="687" priority="21"/>
    <cfRule type="duplicateValues" dxfId="686" priority="33"/>
  </conditionalFormatting>
  <conditionalFormatting sqref="N77">
    <cfRule type="duplicateValues" dxfId="685" priority="284"/>
    <cfRule type="duplicateValues" dxfId="684" priority="325"/>
    <cfRule type="duplicateValues" dxfId="683" priority="296"/>
  </conditionalFormatting>
  <conditionalFormatting sqref="O6:O11 O13:O15 O17:O26 O28:O35 O37:O45 AW48:AW49 O60:O62 O64:O70 O51:O56 O47">
    <cfRule type="duplicateValues" dxfId="682" priority="906"/>
  </conditionalFormatting>
  <conditionalFormatting sqref="O12">
    <cfRule type="duplicateValues" dxfId="681" priority="543"/>
    <cfRule type="duplicateValues" dxfId="680" priority="574"/>
  </conditionalFormatting>
  <conditionalFormatting sqref="O16">
    <cfRule type="duplicateValues" dxfId="679" priority="695"/>
    <cfRule type="duplicateValues" dxfId="678" priority="667"/>
  </conditionalFormatting>
  <conditionalFormatting sqref="O19">
    <cfRule type="duplicateValues" dxfId="677" priority="937"/>
  </conditionalFormatting>
  <conditionalFormatting sqref="O21">
    <cfRule type="duplicateValues" dxfId="676" priority="997"/>
  </conditionalFormatting>
  <conditionalFormatting sqref="O27">
    <cfRule type="duplicateValues" dxfId="675" priority="757"/>
    <cfRule type="duplicateValues" dxfId="674" priority="726"/>
  </conditionalFormatting>
  <conditionalFormatting sqref="O36">
    <cfRule type="duplicateValues" dxfId="673" priority="233"/>
    <cfRule type="duplicateValues" dxfId="672" priority="264"/>
  </conditionalFormatting>
  <conditionalFormatting sqref="O37">
    <cfRule type="duplicateValues" dxfId="671" priority="1144"/>
  </conditionalFormatting>
  <conditionalFormatting sqref="O46">
    <cfRule type="duplicateValues" dxfId="670" priority="101"/>
    <cfRule type="duplicateValues" dxfId="669" priority="100"/>
    <cfRule type="duplicateValues" dxfId="668" priority="102"/>
  </conditionalFormatting>
  <conditionalFormatting sqref="O48">
    <cfRule type="duplicateValues" dxfId="667" priority="357"/>
    <cfRule type="duplicateValues" dxfId="666" priority="388"/>
  </conditionalFormatting>
  <conditionalFormatting sqref="O49:O50">
    <cfRule type="duplicateValues" dxfId="665" priority="143"/>
    <cfRule type="duplicateValues" dxfId="664" priority="116"/>
  </conditionalFormatting>
  <conditionalFormatting sqref="O54">
    <cfRule type="duplicateValues" dxfId="663" priority="1117"/>
  </conditionalFormatting>
  <conditionalFormatting sqref="O57">
    <cfRule type="duplicateValues" dxfId="662" priority="8"/>
    <cfRule type="duplicateValues" dxfId="661" priority="7"/>
    <cfRule type="duplicateValues" dxfId="660" priority="9"/>
  </conditionalFormatting>
  <conditionalFormatting sqref="O58">
    <cfRule type="duplicateValues" dxfId="659" priority="202"/>
    <cfRule type="duplicateValues" dxfId="658" priority="171"/>
  </conditionalFormatting>
  <conditionalFormatting sqref="O59">
    <cfRule type="duplicateValues" dxfId="657" priority="93"/>
    <cfRule type="duplicateValues" dxfId="656" priority="97"/>
  </conditionalFormatting>
  <conditionalFormatting sqref="O63">
    <cfRule type="duplicateValues" dxfId="655" priority="786"/>
    <cfRule type="duplicateValues" dxfId="654" priority="817"/>
  </conditionalFormatting>
  <conditionalFormatting sqref="O64">
    <cfRule type="duplicateValues" dxfId="653" priority="967"/>
  </conditionalFormatting>
  <conditionalFormatting sqref="O67">
    <cfRule type="duplicateValues" dxfId="652" priority="1174"/>
  </conditionalFormatting>
  <conditionalFormatting sqref="O69">
    <cfRule type="duplicateValues" dxfId="651" priority="1027"/>
  </conditionalFormatting>
  <conditionalFormatting sqref="O71:O72 O1:O5 O78:O1048576 O74:O76">
    <cfRule type="duplicateValues" dxfId="650" priority="2025"/>
  </conditionalFormatting>
  <conditionalFormatting sqref="O73">
    <cfRule type="duplicateValues" dxfId="649" priority="32"/>
    <cfRule type="duplicateValues" dxfId="648" priority="63"/>
  </conditionalFormatting>
  <conditionalFormatting sqref="O77">
    <cfRule type="duplicateValues" dxfId="647" priority="326"/>
    <cfRule type="duplicateValues" dxfId="646" priority="295"/>
  </conditionalFormatting>
  <conditionalFormatting sqref="P6:P11 P13:P15 P17:P26 P28:P35 AX48:AX49 P59:P62 P64:P70 P51:P56 P37:P48">
    <cfRule type="duplicateValues" dxfId="645" priority="905"/>
  </conditionalFormatting>
  <conditionalFormatting sqref="P12">
    <cfRule type="duplicateValues" dxfId="644" priority="575"/>
    <cfRule type="duplicateValues" dxfId="643" priority="542"/>
  </conditionalFormatting>
  <conditionalFormatting sqref="P16">
    <cfRule type="duplicateValues" dxfId="642" priority="696"/>
    <cfRule type="duplicateValues" dxfId="641" priority="666"/>
  </conditionalFormatting>
  <conditionalFormatting sqref="P19">
    <cfRule type="duplicateValues" dxfId="640" priority="938"/>
  </conditionalFormatting>
  <conditionalFormatting sqref="P21">
    <cfRule type="duplicateValues" dxfId="639" priority="998"/>
  </conditionalFormatting>
  <conditionalFormatting sqref="P27">
    <cfRule type="duplicateValues" dxfId="638" priority="725"/>
    <cfRule type="duplicateValues" dxfId="637" priority="758"/>
  </conditionalFormatting>
  <conditionalFormatting sqref="P36">
    <cfRule type="duplicateValues" dxfId="636" priority="232"/>
    <cfRule type="duplicateValues" dxfId="635" priority="265"/>
  </conditionalFormatting>
  <conditionalFormatting sqref="P37">
    <cfRule type="duplicateValues" dxfId="634" priority="1145"/>
  </conditionalFormatting>
  <conditionalFormatting sqref="P49:P50">
    <cfRule type="duplicateValues" dxfId="633" priority="144"/>
    <cfRule type="duplicateValues" dxfId="632" priority="115"/>
  </conditionalFormatting>
  <conditionalFormatting sqref="P54">
    <cfRule type="duplicateValues" dxfId="631" priority="1118"/>
  </conditionalFormatting>
  <conditionalFormatting sqref="P57">
    <cfRule type="duplicateValues" dxfId="630" priority="13"/>
    <cfRule type="duplicateValues" dxfId="629" priority="14"/>
  </conditionalFormatting>
  <conditionalFormatting sqref="P58">
    <cfRule type="duplicateValues" dxfId="628" priority="170"/>
    <cfRule type="duplicateValues" dxfId="627" priority="203"/>
  </conditionalFormatting>
  <conditionalFormatting sqref="P63">
    <cfRule type="duplicateValues" dxfId="626" priority="480"/>
    <cfRule type="duplicateValues" dxfId="625" priority="513"/>
  </conditionalFormatting>
  <conditionalFormatting sqref="P64">
    <cfRule type="duplicateValues" dxfId="624" priority="968"/>
  </conditionalFormatting>
  <conditionalFormatting sqref="P67">
    <cfRule type="duplicateValues" dxfId="623" priority="1175"/>
  </conditionalFormatting>
  <conditionalFormatting sqref="P69">
    <cfRule type="duplicateValues" dxfId="622" priority="1028"/>
  </conditionalFormatting>
  <conditionalFormatting sqref="P71:P72 P1:P5 P78:P1048576 P74:P76">
    <cfRule type="duplicateValues" dxfId="621" priority="2024"/>
  </conditionalFormatting>
  <conditionalFormatting sqref="P73">
    <cfRule type="duplicateValues" dxfId="620" priority="31"/>
    <cfRule type="duplicateValues" dxfId="619" priority="64"/>
  </conditionalFormatting>
  <conditionalFormatting sqref="P77">
    <cfRule type="duplicateValues" dxfId="618" priority="327"/>
    <cfRule type="duplicateValues" dxfId="617" priority="294"/>
  </conditionalFormatting>
  <conditionalFormatting sqref="Q6:Q11 Q13:Q15 Q17:Q26 Q28:Q35 Q37:Q47 AY48:AY49 Q59:Q62 Q64:Q71 Q51:Q57">
    <cfRule type="duplicateValues" dxfId="616" priority="904"/>
  </conditionalFormatting>
  <conditionalFormatting sqref="Q12">
    <cfRule type="duplicateValues" dxfId="615" priority="576"/>
    <cfRule type="duplicateValues" dxfId="614" priority="541"/>
  </conditionalFormatting>
  <conditionalFormatting sqref="Q16">
    <cfRule type="duplicateValues" dxfId="613" priority="665"/>
    <cfRule type="duplicateValues" dxfId="612" priority="697"/>
  </conditionalFormatting>
  <conditionalFormatting sqref="Q19">
    <cfRule type="duplicateValues" dxfId="611" priority="939"/>
  </conditionalFormatting>
  <conditionalFormatting sqref="Q21">
    <cfRule type="duplicateValues" dxfId="610" priority="999"/>
  </conditionalFormatting>
  <conditionalFormatting sqref="Q27">
    <cfRule type="duplicateValues" dxfId="609" priority="759"/>
    <cfRule type="duplicateValues" dxfId="608" priority="724"/>
  </conditionalFormatting>
  <conditionalFormatting sqref="Q36">
    <cfRule type="duplicateValues" dxfId="607" priority="231"/>
    <cfRule type="duplicateValues" dxfId="606" priority="266"/>
  </conditionalFormatting>
  <conditionalFormatting sqref="Q37">
    <cfRule type="duplicateValues" dxfId="605" priority="1146"/>
  </conditionalFormatting>
  <conditionalFormatting sqref="Q48">
    <cfRule type="duplicateValues" dxfId="604" priority="355"/>
    <cfRule type="duplicateValues" dxfId="603" priority="390"/>
  </conditionalFormatting>
  <conditionalFormatting sqref="Q49:Q50">
    <cfRule type="duplicateValues" dxfId="602" priority="114"/>
    <cfRule type="duplicateValues" dxfId="601" priority="145"/>
  </conditionalFormatting>
  <conditionalFormatting sqref="Q54">
    <cfRule type="duplicateValues" dxfId="600" priority="1119"/>
  </conditionalFormatting>
  <conditionalFormatting sqref="Q58">
    <cfRule type="duplicateValues" dxfId="599" priority="169"/>
    <cfRule type="duplicateValues" dxfId="598" priority="204"/>
  </conditionalFormatting>
  <conditionalFormatting sqref="Q63">
    <cfRule type="duplicateValues" dxfId="597" priority="819"/>
    <cfRule type="duplicateValues" dxfId="596" priority="784"/>
  </conditionalFormatting>
  <conditionalFormatting sqref="Q64">
    <cfRule type="duplicateValues" dxfId="595" priority="969"/>
  </conditionalFormatting>
  <conditionalFormatting sqref="Q67">
    <cfRule type="duplicateValues" dxfId="594" priority="1176"/>
  </conditionalFormatting>
  <conditionalFormatting sqref="Q69">
    <cfRule type="duplicateValues" dxfId="593" priority="1029"/>
  </conditionalFormatting>
  <conditionalFormatting sqref="Q71:Q72 Q1:Q5 Q78:Q1048576 Q74:Q76">
    <cfRule type="duplicateValues" dxfId="592" priority="2023"/>
  </conditionalFormatting>
  <conditionalFormatting sqref="Q73">
    <cfRule type="duplicateValues" dxfId="591" priority="65"/>
    <cfRule type="duplicateValues" dxfId="590" priority="30"/>
  </conditionalFormatting>
  <conditionalFormatting sqref="Q77">
    <cfRule type="duplicateValues" dxfId="589" priority="328"/>
    <cfRule type="duplicateValues" dxfId="588" priority="293"/>
  </conditionalFormatting>
  <conditionalFormatting sqref="R6:R11 R13:R15 R17:R26 R28:R35 R37:R47 AZ48:AZ49 R59:R62 R64:R70 R51:R57">
    <cfRule type="duplicateValues" priority="903"/>
    <cfRule type="duplicateValues" dxfId="587" priority="902"/>
  </conditionalFormatting>
  <conditionalFormatting sqref="R6:R70">
    <cfRule type="duplicateValues" dxfId="586" priority="98"/>
  </conditionalFormatting>
  <conditionalFormatting sqref="R6:R71">
    <cfRule type="duplicateValues" priority="99"/>
  </conditionalFormatting>
  <conditionalFormatting sqref="R12">
    <cfRule type="duplicateValues" priority="540"/>
    <cfRule type="duplicateValues" dxfId="585" priority="577"/>
    <cfRule type="duplicateValues" dxfId="584" priority="539"/>
  </conditionalFormatting>
  <conditionalFormatting sqref="R16">
    <cfRule type="duplicateValues" dxfId="583" priority="698"/>
    <cfRule type="duplicateValues" dxfId="582" priority="663"/>
    <cfRule type="duplicateValues" priority="664"/>
  </conditionalFormatting>
  <conditionalFormatting sqref="R19">
    <cfRule type="duplicateValues" dxfId="581" priority="940"/>
  </conditionalFormatting>
  <conditionalFormatting sqref="R21">
    <cfRule type="duplicateValues" dxfId="580" priority="1000"/>
  </conditionalFormatting>
  <conditionalFormatting sqref="R27">
    <cfRule type="duplicateValues" dxfId="579" priority="722"/>
    <cfRule type="duplicateValues" dxfId="578" priority="760"/>
    <cfRule type="duplicateValues" priority="723"/>
  </conditionalFormatting>
  <conditionalFormatting sqref="R36">
    <cfRule type="duplicateValues" priority="230"/>
    <cfRule type="duplicateValues" dxfId="577" priority="229"/>
    <cfRule type="duplicateValues" dxfId="576" priority="267"/>
  </conditionalFormatting>
  <conditionalFormatting sqref="R37">
    <cfRule type="duplicateValues" dxfId="575" priority="1147"/>
  </conditionalFormatting>
  <conditionalFormatting sqref="R48">
    <cfRule type="duplicateValues" dxfId="574" priority="353"/>
    <cfRule type="duplicateValues" dxfId="573" priority="391"/>
    <cfRule type="duplicateValues" priority="354"/>
  </conditionalFormatting>
  <conditionalFormatting sqref="R49:R50">
    <cfRule type="duplicateValues" priority="113"/>
    <cfRule type="duplicateValues" dxfId="572" priority="112"/>
    <cfRule type="duplicateValues" dxfId="571" priority="146"/>
  </conditionalFormatting>
  <conditionalFormatting sqref="R54">
    <cfRule type="duplicateValues" dxfId="570" priority="1120"/>
  </conditionalFormatting>
  <conditionalFormatting sqref="R58">
    <cfRule type="duplicateValues" dxfId="569" priority="167"/>
    <cfRule type="duplicateValues" dxfId="568" priority="205"/>
    <cfRule type="duplicateValues" priority="168"/>
  </conditionalFormatting>
  <conditionalFormatting sqref="R63">
    <cfRule type="duplicateValues" priority="783"/>
    <cfRule type="duplicateValues" dxfId="567" priority="782"/>
    <cfRule type="duplicateValues" dxfId="566" priority="820"/>
  </conditionalFormatting>
  <conditionalFormatting sqref="R64">
    <cfRule type="duplicateValues" dxfId="565" priority="970"/>
  </conditionalFormatting>
  <conditionalFormatting sqref="R67">
    <cfRule type="duplicateValues" dxfId="564" priority="1177"/>
  </conditionalFormatting>
  <conditionalFormatting sqref="R69">
    <cfRule type="duplicateValues" dxfId="563" priority="1030"/>
  </conditionalFormatting>
  <conditionalFormatting sqref="R71:R72 R1:R5 R78:R1048576 R74:R76">
    <cfRule type="duplicateValues" dxfId="562" priority="2022"/>
  </conditionalFormatting>
  <conditionalFormatting sqref="R73">
    <cfRule type="duplicateValues" dxfId="561" priority="19"/>
    <cfRule type="duplicateValues" priority="20"/>
    <cfRule type="duplicateValues" dxfId="560" priority="66"/>
    <cfRule type="duplicateValues" priority="29"/>
    <cfRule type="duplicateValues" dxfId="559" priority="28"/>
  </conditionalFormatting>
  <conditionalFormatting sqref="R77">
    <cfRule type="duplicateValues" priority="292"/>
    <cfRule type="duplicateValues" dxfId="558" priority="291"/>
    <cfRule type="duplicateValues" dxfId="557" priority="329"/>
  </conditionalFormatting>
  <conditionalFormatting sqref="S6:S11 S13:S15 S17:S26 S28:S35 S37:S47 BA48:BA49 S59:S62 S64:S70 S51:S57">
    <cfRule type="duplicateValues" dxfId="556" priority="901"/>
  </conditionalFormatting>
  <conditionalFormatting sqref="S12">
    <cfRule type="duplicateValues" dxfId="555" priority="578"/>
    <cfRule type="duplicateValues" dxfId="554" priority="538"/>
  </conditionalFormatting>
  <conditionalFormatting sqref="S16">
    <cfRule type="duplicateValues" dxfId="553" priority="662"/>
    <cfRule type="duplicateValues" dxfId="552" priority="699"/>
  </conditionalFormatting>
  <conditionalFormatting sqref="S19">
    <cfRule type="duplicateValues" dxfId="551" priority="941"/>
  </conditionalFormatting>
  <conditionalFormatting sqref="S21">
    <cfRule type="duplicateValues" dxfId="550" priority="1001"/>
  </conditionalFormatting>
  <conditionalFormatting sqref="S27">
    <cfRule type="duplicateValues" dxfId="549" priority="761"/>
    <cfRule type="duplicateValues" dxfId="548" priority="721"/>
  </conditionalFormatting>
  <conditionalFormatting sqref="S36">
    <cfRule type="duplicateValues" dxfId="547" priority="268"/>
    <cfRule type="duplicateValues" dxfId="546" priority="228"/>
  </conditionalFormatting>
  <conditionalFormatting sqref="S37">
    <cfRule type="duplicateValues" dxfId="545" priority="1148"/>
  </conditionalFormatting>
  <conditionalFormatting sqref="S48">
    <cfRule type="duplicateValues" dxfId="544" priority="352"/>
    <cfRule type="duplicateValues" dxfId="543" priority="392"/>
  </conditionalFormatting>
  <conditionalFormatting sqref="S49:S50">
    <cfRule type="duplicateValues" dxfId="542" priority="147"/>
    <cfRule type="duplicateValues" dxfId="541" priority="111"/>
  </conditionalFormatting>
  <conditionalFormatting sqref="S54">
    <cfRule type="duplicateValues" dxfId="540" priority="1121"/>
  </conditionalFormatting>
  <conditionalFormatting sqref="S58">
    <cfRule type="duplicateValues" dxfId="539" priority="206"/>
    <cfRule type="duplicateValues" dxfId="538" priority="166"/>
  </conditionalFormatting>
  <conditionalFormatting sqref="S63">
    <cfRule type="duplicateValues" dxfId="537" priority="781"/>
    <cfRule type="duplicateValues" dxfId="536" priority="821"/>
  </conditionalFormatting>
  <conditionalFormatting sqref="S64">
    <cfRule type="duplicateValues" dxfId="535" priority="971"/>
  </conditionalFormatting>
  <conditionalFormatting sqref="S67">
    <cfRule type="duplicateValues" dxfId="534" priority="1178"/>
  </conditionalFormatting>
  <conditionalFormatting sqref="S69">
    <cfRule type="duplicateValues" dxfId="533" priority="1031"/>
  </conditionalFormatting>
  <conditionalFormatting sqref="S71:S72 S1:S5 S78:S1048576 S74:S76">
    <cfRule type="duplicateValues" dxfId="532" priority="2021"/>
  </conditionalFormatting>
  <conditionalFormatting sqref="S73">
    <cfRule type="duplicateValues" dxfId="531" priority="67"/>
    <cfRule type="duplicateValues" dxfId="530" priority="27"/>
  </conditionalFormatting>
  <conditionalFormatting sqref="S77">
    <cfRule type="duplicateValues" dxfId="529" priority="290"/>
    <cfRule type="duplicateValues" dxfId="528" priority="330"/>
  </conditionalFormatting>
  <conditionalFormatting sqref="T6:T11 T13:T15 T17:T26 T28:T35 BB48:BB49 T59:T62 T64:T70 T51:T54 T56:T57 T37:T48">
    <cfRule type="duplicateValues" dxfId="527" priority="900"/>
  </conditionalFormatting>
  <conditionalFormatting sqref="T12">
    <cfRule type="duplicateValues" dxfId="526" priority="579"/>
    <cfRule type="duplicateValues" dxfId="525" priority="537"/>
  </conditionalFormatting>
  <conditionalFormatting sqref="T16">
    <cfRule type="duplicateValues" dxfId="524" priority="661"/>
    <cfRule type="duplicateValues" dxfId="523" priority="700"/>
  </conditionalFormatting>
  <conditionalFormatting sqref="T19">
    <cfRule type="duplicateValues" dxfId="522" priority="942"/>
  </conditionalFormatting>
  <conditionalFormatting sqref="T21">
    <cfRule type="duplicateValues" dxfId="521" priority="1002"/>
  </conditionalFormatting>
  <conditionalFormatting sqref="T27">
    <cfRule type="duplicateValues" dxfId="520" priority="762"/>
    <cfRule type="duplicateValues" dxfId="519" priority="720"/>
  </conditionalFormatting>
  <conditionalFormatting sqref="T36">
    <cfRule type="duplicateValues" dxfId="518" priority="227"/>
    <cfRule type="duplicateValues" dxfId="517" priority="269"/>
  </conditionalFormatting>
  <conditionalFormatting sqref="T37">
    <cfRule type="duplicateValues" dxfId="516" priority="1149"/>
  </conditionalFormatting>
  <conditionalFormatting sqref="T49:T50">
    <cfRule type="duplicateValues" dxfId="515" priority="110"/>
    <cfRule type="duplicateValues" dxfId="514" priority="148"/>
  </conditionalFormatting>
  <conditionalFormatting sqref="T54">
    <cfRule type="duplicateValues" dxfId="513" priority="1122"/>
  </conditionalFormatting>
  <conditionalFormatting sqref="T55">
    <cfRule type="duplicateValues" dxfId="512" priority="780"/>
    <cfRule type="duplicateValues" dxfId="511" priority="822"/>
  </conditionalFormatting>
  <conditionalFormatting sqref="T58">
    <cfRule type="duplicateValues" dxfId="510" priority="165"/>
    <cfRule type="duplicateValues" dxfId="509" priority="207"/>
  </conditionalFormatting>
  <conditionalFormatting sqref="T63">
    <cfRule type="duplicateValues" dxfId="508" priority="517"/>
    <cfRule type="duplicateValues" dxfId="507" priority="475"/>
  </conditionalFormatting>
  <conditionalFormatting sqref="T64">
    <cfRule type="duplicateValues" dxfId="506" priority="972"/>
  </conditionalFormatting>
  <conditionalFormatting sqref="T67">
    <cfRule type="duplicateValues" dxfId="505" priority="1179"/>
  </conditionalFormatting>
  <conditionalFormatting sqref="T69">
    <cfRule type="duplicateValues" dxfId="504" priority="1032"/>
  </conditionalFormatting>
  <conditionalFormatting sqref="T71:T72 T1:T5 T78:T1048576 T74:T76">
    <cfRule type="duplicateValues" dxfId="503" priority="2020"/>
  </conditionalFormatting>
  <conditionalFormatting sqref="T73">
    <cfRule type="duplicateValues" dxfId="502" priority="26"/>
    <cfRule type="duplicateValues" dxfId="501" priority="68"/>
  </conditionalFormatting>
  <conditionalFormatting sqref="T77">
    <cfRule type="duplicateValues" dxfId="500" priority="331"/>
    <cfRule type="duplicateValues" dxfId="499" priority="289"/>
  </conditionalFormatting>
  <conditionalFormatting sqref="U6:U11 U13:U15 U17:U26 U28:U35 BC48:BC49 U59:U62 U64:U70 U51:U54 U56 U37:U48">
    <cfRule type="duplicateValues" dxfId="498" priority="898"/>
    <cfRule type="duplicateValues" priority="899"/>
  </conditionalFormatting>
  <conditionalFormatting sqref="U12">
    <cfRule type="duplicateValues" priority="536"/>
    <cfRule type="duplicateValues" dxfId="497" priority="580"/>
    <cfRule type="duplicateValues" dxfId="496" priority="535"/>
  </conditionalFormatting>
  <conditionalFormatting sqref="U16">
    <cfRule type="duplicateValues" dxfId="495" priority="701"/>
    <cfRule type="duplicateValues" priority="660"/>
    <cfRule type="duplicateValues" dxfId="494" priority="659"/>
  </conditionalFormatting>
  <conditionalFormatting sqref="U19">
    <cfRule type="duplicateValues" dxfId="493" priority="943"/>
  </conditionalFormatting>
  <conditionalFormatting sqref="U21">
    <cfRule type="duplicateValues" dxfId="492" priority="1003"/>
  </conditionalFormatting>
  <conditionalFormatting sqref="U27">
    <cfRule type="duplicateValues" priority="719"/>
    <cfRule type="duplicateValues" dxfId="491" priority="763"/>
    <cfRule type="duplicateValues" dxfId="490" priority="718"/>
  </conditionalFormatting>
  <conditionalFormatting sqref="U36">
    <cfRule type="duplicateValues" priority="226"/>
    <cfRule type="duplicateValues" dxfId="489" priority="270"/>
    <cfRule type="duplicateValues" dxfId="488" priority="225"/>
  </conditionalFormatting>
  <conditionalFormatting sqref="U37">
    <cfRule type="duplicateValues" dxfId="487" priority="1150"/>
  </conditionalFormatting>
  <conditionalFormatting sqref="U49:U50">
    <cfRule type="duplicateValues" dxfId="486" priority="149"/>
    <cfRule type="duplicateValues" dxfId="485" priority="108"/>
    <cfRule type="duplicateValues" priority="109"/>
  </conditionalFormatting>
  <conditionalFormatting sqref="U54">
    <cfRule type="duplicateValues" dxfId="484" priority="1123"/>
  </conditionalFormatting>
  <conditionalFormatting sqref="U55">
    <cfRule type="duplicateValues" priority="779"/>
    <cfRule type="duplicateValues" dxfId="483" priority="823"/>
    <cfRule type="duplicateValues" dxfId="482" priority="778"/>
  </conditionalFormatting>
  <conditionalFormatting sqref="U57">
    <cfRule type="duplicateValues" dxfId="481" priority="18"/>
    <cfRule type="duplicateValues" dxfId="480" priority="17"/>
  </conditionalFormatting>
  <conditionalFormatting sqref="U58">
    <cfRule type="duplicateValues" dxfId="479" priority="163"/>
    <cfRule type="duplicateValues" dxfId="478" priority="208"/>
    <cfRule type="duplicateValues" priority="164"/>
  </conditionalFormatting>
  <conditionalFormatting sqref="U63">
    <cfRule type="duplicateValues" priority="474"/>
    <cfRule type="duplicateValues" dxfId="477" priority="473"/>
    <cfRule type="duplicateValues" dxfId="476" priority="518"/>
  </conditionalFormatting>
  <conditionalFormatting sqref="U64">
    <cfRule type="duplicateValues" dxfId="475" priority="973"/>
  </conditionalFormatting>
  <conditionalFormatting sqref="U67">
    <cfRule type="duplicateValues" dxfId="474" priority="1180"/>
  </conditionalFormatting>
  <conditionalFormatting sqref="U69">
    <cfRule type="duplicateValues" dxfId="473" priority="1033"/>
  </conditionalFormatting>
  <conditionalFormatting sqref="U71:U72 U1:U5 U78:U1048576 U74:U76">
    <cfRule type="duplicateValues" dxfId="472" priority="2019"/>
  </conditionalFormatting>
  <conditionalFormatting sqref="U73">
    <cfRule type="duplicateValues" dxfId="471" priority="69"/>
    <cfRule type="duplicateValues" priority="25"/>
    <cfRule type="duplicateValues" dxfId="470" priority="24"/>
  </conditionalFormatting>
  <conditionalFormatting sqref="U77">
    <cfRule type="duplicateValues" dxfId="469" priority="287"/>
    <cfRule type="duplicateValues" priority="288"/>
    <cfRule type="duplicateValues" dxfId="468" priority="332"/>
  </conditionalFormatting>
  <conditionalFormatting sqref="V6:V11 V13:V15 V17:V26 V28:V35 BD48:BD49 V59:V62 V64:V70 V51:V56 V37:V48">
    <cfRule type="duplicateValues" dxfId="467" priority="897"/>
  </conditionalFormatting>
  <conditionalFormatting sqref="V12">
    <cfRule type="duplicateValues" dxfId="466" priority="534"/>
    <cfRule type="duplicateValues" dxfId="465" priority="581"/>
  </conditionalFormatting>
  <conditionalFormatting sqref="V16">
    <cfRule type="duplicateValues" dxfId="464" priority="658"/>
    <cfRule type="duplicateValues" dxfId="463" priority="702"/>
  </conditionalFormatting>
  <conditionalFormatting sqref="V19">
    <cfRule type="duplicateValues" dxfId="462" priority="944"/>
  </conditionalFormatting>
  <conditionalFormatting sqref="V21">
    <cfRule type="duplicateValues" dxfId="461" priority="1004"/>
  </conditionalFormatting>
  <conditionalFormatting sqref="V27">
    <cfRule type="duplicateValues" dxfId="460" priority="717"/>
    <cfRule type="duplicateValues" dxfId="459" priority="764"/>
  </conditionalFormatting>
  <conditionalFormatting sqref="V36">
    <cfRule type="duplicateValues" dxfId="458" priority="271"/>
    <cfRule type="duplicateValues" dxfId="457" priority="224"/>
  </conditionalFormatting>
  <conditionalFormatting sqref="V37">
    <cfRule type="duplicateValues" dxfId="456" priority="1151"/>
  </conditionalFormatting>
  <conditionalFormatting sqref="V49:V50">
    <cfRule type="duplicateValues" dxfId="455" priority="107"/>
    <cfRule type="duplicateValues" dxfId="454" priority="150"/>
  </conditionalFormatting>
  <conditionalFormatting sqref="V54">
    <cfRule type="duplicateValues" dxfId="453" priority="1124"/>
  </conditionalFormatting>
  <conditionalFormatting sqref="V57">
    <cfRule type="duplicateValues" dxfId="452" priority="15"/>
    <cfRule type="duplicateValues" dxfId="451" priority="16"/>
  </conditionalFormatting>
  <conditionalFormatting sqref="V58">
    <cfRule type="duplicateValues" dxfId="450" priority="209"/>
    <cfRule type="duplicateValues" dxfId="449" priority="162"/>
  </conditionalFormatting>
  <conditionalFormatting sqref="V63">
    <cfRule type="duplicateValues" dxfId="448" priority="472"/>
    <cfRule type="duplicateValues" dxfId="447" priority="519"/>
  </conditionalFormatting>
  <conditionalFormatting sqref="V64">
    <cfRule type="duplicateValues" dxfId="446" priority="974"/>
  </conditionalFormatting>
  <conditionalFormatting sqref="V67">
    <cfRule type="duplicateValues" dxfId="445" priority="1181"/>
  </conditionalFormatting>
  <conditionalFormatting sqref="V69">
    <cfRule type="duplicateValues" dxfId="444" priority="1034"/>
  </conditionalFormatting>
  <conditionalFormatting sqref="V71:V72 V1:V5 V78:V1048576 V74:V76">
    <cfRule type="duplicateValues" dxfId="443" priority="2018"/>
  </conditionalFormatting>
  <conditionalFormatting sqref="V73">
    <cfRule type="duplicateValues" dxfId="442" priority="70"/>
    <cfRule type="duplicateValues" dxfId="441" priority="23"/>
  </conditionalFormatting>
  <conditionalFormatting sqref="V77">
    <cfRule type="duplicateValues" dxfId="440" priority="286"/>
    <cfRule type="duplicateValues" dxfId="439" priority="333"/>
  </conditionalFormatting>
  <conditionalFormatting sqref="W6:W11 W13:W15 W17:W26 W28:W35 W37:W47 BE48:BE49 W59:W62 W64:W70 W51:W57">
    <cfRule type="duplicateValues" priority="926"/>
    <cfRule type="duplicateValues" dxfId="438" priority="920"/>
  </conditionalFormatting>
  <conditionalFormatting sqref="W12">
    <cfRule type="duplicateValues" dxfId="437" priority="582"/>
    <cfRule type="duplicateValues" priority="563"/>
    <cfRule type="duplicateValues" dxfId="436" priority="557"/>
  </conditionalFormatting>
  <conditionalFormatting sqref="W16">
    <cfRule type="duplicateValues" dxfId="435" priority="681"/>
    <cfRule type="duplicateValues" dxfId="434" priority="703"/>
    <cfRule type="duplicateValues" priority="687"/>
  </conditionalFormatting>
  <conditionalFormatting sqref="W19">
    <cfRule type="duplicateValues" dxfId="433" priority="945"/>
  </conditionalFormatting>
  <conditionalFormatting sqref="W21">
    <cfRule type="duplicateValues" dxfId="432" priority="1005"/>
  </conditionalFormatting>
  <conditionalFormatting sqref="W27">
    <cfRule type="duplicateValues" dxfId="431" priority="740"/>
    <cfRule type="duplicateValues" priority="746"/>
    <cfRule type="duplicateValues" dxfId="430" priority="765"/>
  </conditionalFormatting>
  <conditionalFormatting sqref="W36">
    <cfRule type="duplicateValues" dxfId="429" priority="272"/>
    <cfRule type="duplicateValues" priority="253"/>
    <cfRule type="duplicateValues" dxfId="428" priority="247"/>
  </conditionalFormatting>
  <conditionalFormatting sqref="W37">
    <cfRule type="duplicateValues" dxfId="427" priority="1152"/>
  </conditionalFormatting>
  <conditionalFormatting sqref="W48">
    <cfRule type="duplicateValues" dxfId="426" priority="396"/>
    <cfRule type="duplicateValues" priority="377"/>
    <cfRule type="duplicateValues" dxfId="425" priority="371"/>
  </conditionalFormatting>
  <conditionalFormatting sqref="W49:W50">
    <cfRule type="duplicateValues" dxfId="424" priority="151"/>
    <cfRule type="duplicateValues" dxfId="423" priority="126"/>
    <cfRule type="duplicateValues" priority="132"/>
  </conditionalFormatting>
  <conditionalFormatting sqref="W54">
    <cfRule type="duplicateValues" dxfId="422" priority="1125"/>
  </conditionalFormatting>
  <conditionalFormatting sqref="W58">
    <cfRule type="duplicateValues" dxfId="421" priority="210"/>
    <cfRule type="duplicateValues" dxfId="420" priority="185"/>
    <cfRule type="duplicateValues" priority="191"/>
  </conditionalFormatting>
  <conditionalFormatting sqref="W63">
    <cfRule type="duplicateValues" priority="806"/>
    <cfRule type="duplicateValues" dxfId="419" priority="825"/>
    <cfRule type="duplicateValues" dxfId="418" priority="800"/>
  </conditionalFormatting>
  <conditionalFormatting sqref="W64">
    <cfRule type="duplicateValues" dxfId="417" priority="975"/>
  </conditionalFormatting>
  <conditionalFormatting sqref="W67">
    <cfRule type="duplicateValues" dxfId="416" priority="1182"/>
  </conditionalFormatting>
  <conditionalFormatting sqref="W69">
    <cfRule type="duplicateValues" dxfId="415" priority="1035"/>
  </conditionalFormatting>
  <conditionalFormatting sqref="W71:W72 W1:W5 W78:W1048576 W74:W76">
    <cfRule type="duplicateValues" dxfId="414" priority="2017"/>
  </conditionalFormatting>
  <conditionalFormatting sqref="W73">
    <cfRule type="duplicateValues" dxfId="413" priority="71"/>
    <cfRule type="duplicateValues" priority="52"/>
    <cfRule type="duplicateValues" dxfId="412" priority="46"/>
  </conditionalFormatting>
  <conditionalFormatting sqref="W77">
    <cfRule type="duplicateValues" priority="315"/>
    <cfRule type="duplicateValues" dxfId="411" priority="309"/>
    <cfRule type="duplicateValues" dxfId="410" priority="334"/>
  </conditionalFormatting>
  <conditionalFormatting sqref="X6:X11 X13:X15 X17:X26 X28:X35 X37:X47 BF48:BF49 X59:X62 X64:X70 X51:X57">
    <cfRule type="duplicateValues" priority="925"/>
    <cfRule type="duplicateValues" dxfId="409" priority="919"/>
  </conditionalFormatting>
  <conditionalFormatting sqref="X12">
    <cfRule type="duplicateValues" dxfId="408" priority="583"/>
    <cfRule type="duplicateValues" dxfId="407" priority="556"/>
    <cfRule type="duplicateValues" priority="562"/>
  </conditionalFormatting>
  <conditionalFormatting sqref="X16">
    <cfRule type="duplicateValues" priority="686"/>
    <cfRule type="duplicateValues" dxfId="406" priority="704"/>
    <cfRule type="duplicateValues" dxfId="405" priority="680"/>
  </conditionalFormatting>
  <conditionalFormatting sqref="X19">
    <cfRule type="duplicateValues" dxfId="404" priority="946"/>
  </conditionalFormatting>
  <conditionalFormatting sqref="X21">
    <cfRule type="duplicateValues" dxfId="403" priority="1006"/>
  </conditionalFormatting>
  <conditionalFormatting sqref="X27">
    <cfRule type="duplicateValues" dxfId="402" priority="766"/>
    <cfRule type="duplicateValues" dxfId="401" priority="739"/>
    <cfRule type="duplicateValues" priority="745"/>
  </conditionalFormatting>
  <conditionalFormatting sqref="X36">
    <cfRule type="duplicateValues" dxfId="400" priority="246"/>
    <cfRule type="duplicateValues" priority="252"/>
    <cfRule type="duplicateValues" dxfId="399" priority="273"/>
  </conditionalFormatting>
  <conditionalFormatting sqref="X37">
    <cfRule type="duplicateValues" dxfId="398" priority="1153"/>
  </conditionalFormatting>
  <conditionalFormatting sqref="X48">
    <cfRule type="duplicateValues" dxfId="397" priority="397"/>
    <cfRule type="duplicateValues" dxfId="396" priority="370"/>
    <cfRule type="duplicateValues" priority="376"/>
  </conditionalFormatting>
  <conditionalFormatting sqref="X49:X50">
    <cfRule type="duplicateValues" dxfId="395" priority="125"/>
    <cfRule type="duplicateValues" dxfId="394" priority="152"/>
    <cfRule type="duplicateValues" priority="131"/>
  </conditionalFormatting>
  <conditionalFormatting sqref="X54">
    <cfRule type="duplicateValues" dxfId="393" priority="1126"/>
  </conditionalFormatting>
  <conditionalFormatting sqref="X58">
    <cfRule type="duplicateValues" dxfId="392" priority="211"/>
    <cfRule type="duplicateValues" dxfId="391" priority="184"/>
    <cfRule type="duplicateValues" priority="190"/>
  </conditionalFormatting>
  <conditionalFormatting sqref="X63">
    <cfRule type="duplicateValues" dxfId="390" priority="826"/>
    <cfRule type="duplicateValues" priority="805"/>
    <cfRule type="duplicateValues" dxfId="389" priority="799"/>
  </conditionalFormatting>
  <conditionalFormatting sqref="X64">
    <cfRule type="duplicateValues" dxfId="388" priority="976"/>
  </conditionalFormatting>
  <conditionalFormatting sqref="X67">
    <cfRule type="duplicateValues" dxfId="387" priority="1183"/>
  </conditionalFormatting>
  <conditionalFormatting sqref="X69">
    <cfRule type="duplicateValues" dxfId="386" priority="1036"/>
  </conditionalFormatting>
  <conditionalFormatting sqref="X71:X72 X1:X5 X78:X1048576 X74:X76">
    <cfRule type="duplicateValues" dxfId="385" priority="2016"/>
  </conditionalFormatting>
  <conditionalFormatting sqref="X73">
    <cfRule type="duplicateValues" dxfId="384" priority="45"/>
    <cfRule type="duplicateValues" priority="51"/>
    <cfRule type="duplicateValues" dxfId="383" priority="72"/>
  </conditionalFormatting>
  <conditionalFormatting sqref="X77">
    <cfRule type="duplicateValues" priority="314"/>
    <cfRule type="duplicateValues" dxfId="382" priority="308"/>
    <cfRule type="duplicateValues" dxfId="381" priority="335"/>
  </conditionalFormatting>
  <conditionalFormatting sqref="Y6:Y11 Y13:Y15 Y17:Y26 Y28:Y35 Y37:Y47 BG48:BG49 Y59:Y62 Y64:Y70 Y51:Y57">
    <cfRule type="duplicateValues" dxfId="380" priority="918"/>
    <cfRule type="duplicateValues" priority="924"/>
  </conditionalFormatting>
  <conditionalFormatting sqref="Y12">
    <cfRule type="duplicateValues" priority="561"/>
    <cfRule type="duplicateValues" dxfId="379" priority="584"/>
    <cfRule type="duplicateValues" dxfId="378" priority="555"/>
  </conditionalFormatting>
  <conditionalFormatting sqref="Y16">
    <cfRule type="duplicateValues" priority="685"/>
    <cfRule type="duplicateValues" dxfId="377" priority="705"/>
    <cfRule type="duplicateValues" dxfId="376" priority="679"/>
  </conditionalFormatting>
  <conditionalFormatting sqref="Y19">
    <cfRule type="duplicateValues" dxfId="375" priority="947"/>
  </conditionalFormatting>
  <conditionalFormatting sqref="Y21">
    <cfRule type="duplicateValues" dxfId="374" priority="1007"/>
  </conditionalFormatting>
  <conditionalFormatting sqref="Y27">
    <cfRule type="duplicateValues" dxfId="373" priority="738"/>
    <cfRule type="duplicateValues" dxfId="372" priority="767"/>
    <cfRule type="duplicateValues" priority="744"/>
  </conditionalFormatting>
  <conditionalFormatting sqref="Y36">
    <cfRule type="duplicateValues" dxfId="371" priority="274"/>
    <cfRule type="duplicateValues" dxfId="370" priority="245"/>
    <cfRule type="duplicateValues" priority="251"/>
  </conditionalFormatting>
  <conditionalFormatting sqref="Y37">
    <cfRule type="duplicateValues" dxfId="369" priority="1154"/>
  </conditionalFormatting>
  <conditionalFormatting sqref="Y48">
    <cfRule type="duplicateValues" priority="375"/>
    <cfRule type="duplicateValues" dxfId="368" priority="398"/>
    <cfRule type="duplicateValues" dxfId="367" priority="369"/>
  </conditionalFormatting>
  <conditionalFormatting sqref="Y49:Y50">
    <cfRule type="duplicateValues" dxfId="366" priority="124"/>
    <cfRule type="duplicateValues" priority="130"/>
    <cfRule type="duplicateValues" dxfId="365" priority="153"/>
  </conditionalFormatting>
  <conditionalFormatting sqref="Y54">
    <cfRule type="duplicateValues" dxfId="364" priority="1127"/>
  </conditionalFormatting>
  <conditionalFormatting sqref="Y58">
    <cfRule type="duplicateValues" dxfId="363" priority="212"/>
    <cfRule type="duplicateValues" priority="189"/>
    <cfRule type="duplicateValues" dxfId="362" priority="183"/>
  </conditionalFormatting>
  <conditionalFormatting sqref="Y63">
    <cfRule type="duplicateValues" dxfId="361" priority="798"/>
    <cfRule type="duplicateValues" dxfId="360" priority="827"/>
    <cfRule type="duplicateValues" priority="804"/>
  </conditionalFormatting>
  <conditionalFormatting sqref="Y64">
    <cfRule type="duplicateValues" dxfId="359" priority="977"/>
  </conditionalFormatting>
  <conditionalFormatting sqref="Y67">
    <cfRule type="duplicateValues" dxfId="358" priority="1184"/>
  </conditionalFormatting>
  <conditionalFormatting sqref="Y69">
    <cfRule type="duplicateValues" dxfId="357" priority="1037"/>
  </conditionalFormatting>
  <conditionalFormatting sqref="Y71:Y72 Y1:Y5 Y78:Y1048576 Y74:Y76">
    <cfRule type="duplicateValues" dxfId="356" priority="2015"/>
  </conditionalFormatting>
  <conditionalFormatting sqref="Y73">
    <cfRule type="duplicateValues" dxfId="355" priority="73"/>
    <cfRule type="duplicateValues" dxfId="354" priority="44"/>
    <cfRule type="duplicateValues" priority="50"/>
  </conditionalFormatting>
  <conditionalFormatting sqref="Y77">
    <cfRule type="duplicateValues" dxfId="353" priority="307"/>
    <cfRule type="duplicateValues" priority="313"/>
    <cfRule type="duplicateValues" dxfId="352" priority="336"/>
  </conditionalFormatting>
  <conditionalFormatting sqref="Z6:Z7 Z9:Z11 Z13:Z15 Z17:Z26 Z28:Z35 Z37:Z47 BH48:BH49 Z59:Z62 Z64:Z70 Z51:Z54 Z56">
    <cfRule type="duplicateValues" dxfId="351" priority="922"/>
    <cfRule type="duplicateValues" priority="923"/>
  </conditionalFormatting>
  <conditionalFormatting sqref="Z12">
    <cfRule type="duplicateValues" priority="560"/>
    <cfRule type="duplicateValues" dxfId="350" priority="559"/>
    <cfRule type="duplicateValues" dxfId="349" priority="585"/>
  </conditionalFormatting>
  <conditionalFormatting sqref="Z16">
    <cfRule type="duplicateValues" dxfId="348" priority="706"/>
    <cfRule type="duplicateValues" dxfId="347" priority="683"/>
    <cfRule type="duplicateValues" priority="684"/>
  </conditionalFormatting>
  <conditionalFormatting sqref="Z19">
    <cfRule type="duplicateValues" dxfId="346" priority="948"/>
  </conditionalFormatting>
  <conditionalFormatting sqref="Z21">
    <cfRule type="duplicateValues" dxfId="345" priority="1008"/>
  </conditionalFormatting>
  <conditionalFormatting sqref="Z27">
    <cfRule type="duplicateValues" dxfId="344" priority="742"/>
    <cfRule type="duplicateValues" dxfId="343" priority="768"/>
    <cfRule type="duplicateValues" priority="743"/>
  </conditionalFormatting>
  <conditionalFormatting sqref="Z36">
    <cfRule type="duplicateValues" priority="250"/>
    <cfRule type="duplicateValues" dxfId="342" priority="275"/>
    <cfRule type="duplicateValues" dxfId="341" priority="249"/>
  </conditionalFormatting>
  <conditionalFormatting sqref="Z37">
    <cfRule type="duplicateValues" dxfId="340" priority="1155"/>
  </conditionalFormatting>
  <conditionalFormatting sqref="Z48">
    <cfRule type="duplicateValues" dxfId="339" priority="88"/>
    <cfRule type="duplicateValues" dxfId="338" priority="90"/>
    <cfRule type="duplicateValues" dxfId="337" priority="91"/>
  </conditionalFormatting>
  <conditionalFormatting sqref="Z49:Z50">
    <cfRule type="duplicateValues" dxfId="336" priority="128"/>
    <cfRule type="duplicateValues" dxfId="335" priority="154"/>
    <cfRule type="duplicateValues" priority="129"/>
  </conditionalFormatting>
  <conditionalFormatting sqref="Z54">
    <cfRule type="duplicateValues" dxfId="334" priority="1128"/>
  </conditionalFormatting>
  <conditionalFormatting sqref="Z55">
    <cfRule type="duplicateValues" dxfId="333" priority="828"/>
    <cfRule type="duplicateValues" dxfId="332" priority="802"/>
    <cfRule type="duplicateValues" priority="803"/>
  </conditionalFormatting>
  <conditionalFormatting sqref="Z57">
    <cfRule type="duplicateValues" dxfId="331" priority="4"/>
    <cfRule type="duplicateValues" dxfId="330" priority="2"/>
    <cfRule type="duplicateValues" dxfId="329" priority="5"/>
  </conditionalFormatting>
  <conditionalFormatting sqref="Z58">
    <cfRule type="duplicateValues" priority="188"/>
    <cfRule type="duplicateValues" dxfId="328" priority="187"/>
    <cfRule type="duplicateValues" dxfId="327" priority="213"/>
  </conditionalFormatting>
  <conditionalFormatting sqref="Z63">
    <cfRule type="duplicateValues" dxfId="326" priority="83"/>
    <cfRule type="duplicateValues" dxfId="325" priority="86"/>
    <cfRule type="duplicateValues" dxfId="324" priority="85"/>
  </conditionalFormatting>
  <conditionalFormatting sqref="Z64">
    <cfRule type="duplicateValues" dxfId="323" priority="978"/>
  </conditionalFormatting>
  <conditionalFormatting sqref="Z67">
    <cfRule type="duplicateValues" dxfId="322" priority="1185"/>
  </conditionalFormatting>
  <conditionalFormatting sqref="Z69">
    <cfRule type="duplicateValues" dxfId="321" priority="1038"/>
  </conditionalFormatting>
  <conditionalFormatting sqref="Z71:Z72 Z1:Z5 Z78:Z1048576 Z74:Z76">
    <cfRule type="duplicateValues" dxfId="320" priority="2014"/>
  </conditionalFormatting>
  <conditionalFormatting sqref="Z73">
    <cfRule type="duplicateValues" dxfId="319" priority="48"/>
    <cfRule type="duplicateValues" priority="49"/>
    <cfRule type="duplicateValues" dxfId="318" priority="74"/>
  </conditionalFormatting>
  <conditionalFormatting sqref="Z77">
    <cfRule type="duplicateValues" priority="312"/>
    <cfRule type="duplicateValues" dxfId="317" priority="337"/>
    <cfRule type="duplicateValues" dxfId="316" priority="311"/>
  </conditionalFormatting>
  <conditionalFormatting sqref="AA6:AA11 AA13:AA15 AA17:AA26 AA28:AA35 AA37:AA47 BI48:BI49 AA59:AA62 AA64:AA70 AA51:AA54 AA56">
    <cfRule type="duplicateValues" dxfId="315" priority="921"/>
  </conditionalFormatting>
  <conditionalFormatting sqref="AA12">
    <cfRule type="duplicateValues" dxfId="314" priority="586"/>
    <cfRule type="duplicateValues" dxfId="313" priority="558"/>
  </conditionalFormatting>
  <conditionalFormatting sqref="AA16">
    <cfRule type="duplicateValues" dxfId="312" priority="682"/>
    <cfRule type="duplicateValues" dxfId="311" priority="707"/>
  </conditionalFormatting>
  <conditionalFormatting sqref="AA19">
    <cfRule type="duplicateValues" dxfId="310" priority="949"/>
  </conditionalFormatting>
  <conditionalFormatting sqref="AA21">
    <cfRule type="duplicateValues" dxfId="309" priority="1009"/>
  </conditionalFormatting>
  <conditionalFormatting sqref="AA27">
    <cfRule type="duplicateValues" dxfId="308" priority="769"/>
    <cfRule type="duplicateValues" dxfId="307" priority="741"/>
  </conditionalFormatting>
  <conditionalFormatting sqref="AA36">
    <cfRule type="duplicateValues" dxfId="306" priority="276"/>
    <cfRule type="duplicateValues" dxfId="305" priority="248"/>
  </conditionalFormatting>
  <conditionalFormatting sqref="AA37">
    <cfRule type="duplicateValues" dxfId="304" priority="1156"/>
  </conditionalFormatting>
  <conditionalFormatting sqref="AA48">
    <cfRule type="duplicateValues" dxfId="303" priority="92"/>
    <cfRule type="duplicateValues" dxfId="302" priority="89"/>
  </conditionalFormatting>
  <conditionalFormatting sqref="AA49:AA50">
    <cfRule type="duplicateValues" dxfId="301" priority="155"/>
    <cfRule type="duplicateValues" dxfId="300" priority="127"/>
  </conditionalFormatting>
  <conditionalFormatting sqref="AA54">
    <cfRule type="duplicateValues" dxfId="299" priority="1129"/>
  </conditionalFormatting>
  <conditionalFormatting sqref="AA55">
    <cfRule type="duplicateValues" dxfId="298" priority="801"/>
    <cfRule type="duplicateValues" dxfId="297" priority="829"/>
  </conditionalFormatting>
  <conditionalFormatting sqref="AA57">
    <cfRule type="duplicateValues" dxfId="296" priority="3"/>
    <cfRule type="duplicateValues" dxfId="295" priority="6"/>
  </conditionalFormatting>
  <conditionalFormatting sqref="AA58">
    <cfRule type="duplicateValues" dxfId="294" priority="186"/>
    <cfRule type="duplicateValues" dxfId="293" priority="214"/>
  </conditionalFormatting>
  <conditionalFormatting sqref="AA63">
    <cfRule type="duplicateValues" dxfId="292" priority="87"/>
    <cfRule type="duplicateValues" dxfId="291" priority="84"/>
  </conditionalFormatting>
  <conditionalFormatting sqref="AA64">
    <cfRule type="duplicateValues" dxfId="290" priority="979"/>
  </conditionalFormatting>
  <conditionalFormatting sqref="AA67">
    <cfRule type="duplicateValues" dxfId="289" priority="1186"/>
  </conditionalFormatting>
  <conditionalFormatting sqref="AA69">
    <cfRule type="duplicateValues" dxfId="288" priority="1039"/>
  </conditionalFormatting>
  <conditionalFormatting sqref="AA71:AA72 AA1:AA5 AA78:AA1048576 AA74:AA76">
    <cfRule type="duplicateValues" dxfId="287" priority="2013"/>
  </conditionalFormatting>
  <conditionalFormatting sqref="AA73">
    <cfRule type="duplicateValues" dxfId="286" priority="75"/>
    <cfRule type="duplicateValues" dxfId="285" priority="47"/>
  </conditionalFormatting>
  <conditionalFormatting sqref="AA77">
    <cfRule type="duplicateValues" dxfId="284" priority="310"/>
    <cfRule type="duplicateValues" dxfId="283" priority="338"/>
  </conditionalFormatting>
  <conditionalFormatting sqref="AB6:AB11 AB13:AB15 AB17:AB26 AB28:AB35 BJ48:BJ49 AB59:AB62 AB64:AB70 AB51:AB57 AB37:AB48">
    <cfRule type="duplicateValues" dxfId="282" priority="917"/>
  </conditionalFormatting>
  <conditionalFormatting sqref="AB12">
    <cfRule type="duplicateValues" dxfId="281" priority="587"/>
    <cfRule type="duplicateValues" dxfId="280" priority="554"/>
  </conditionalFormatting>
  <conditionalFormatting sqref="AB16">
    <cfRule type="duplicateValues" dxfId="279" priority="708"/>
    <cfRule type="duplicateValues" dxfId="278" priority="678"/>
  </conditionalFormatting>
  <conditionalFormatting sqref="AB19">
    <cfRule type="duplicateValues" dxfId="277" priority="950"/>
  </conditionalFormatting>
  <conditionalFormatting sqref="AB21">
    <cfRule type="duplicateValues" dxfId="276" priority="1010"/>
  </conditionalFormatting>
  <conditionalFormatting sqref="AB27">
    <cfRule type="duplicateValues" dxfId="275" priority="770"/>
    <cfRule type="duplicateValues" dxfId="274" priority="737"/>
  </conditionalFormatting>
  <conditionalFormatting sqref="AB36">
    <cfRule type="duplicateValues" dxfId="273" priority="277"/>
    <cfRule type="duplicateValues" dxfId="272" priority="244"/>
  </conditionalFormatting>
  <conditionalFormatting sqref="AB37">
    <cfRule type="duplicateValues" dxfId="271" priority="1157"/>
  </conditionalFormatting>
  <conditionalFormatting sqref="AB49:AB50">
    <cfRule type="duplicateValues" dxfId="270" priority="123"/>
    <cfRule type="duplicateValues" dxfId="269" priority="156"/>
  </conditionalFormatting>
  <conditionalFormatting sqref="AB54">
    <cfRule type="duplicateValues" dxfId="268" priority="1130"/>
  </conditionalFormatting>
  <conditionalFormatting sqref="AB58">
    <cfRule type="duplicateValues" dxfId="267" priority="215"/>
    <cfRule type="duplicateValues" dxfId="266" priority="182"/>
  </conditionalFormatting>
  <conditionalFormatting sqref="AB63">
    <cfRule type="duplicateValues" dxfId="265" priority="525"/>
    <cfRule type="duplicateValues" dxfId="264" priority="492"/>
  </conditionalFormatting>
  <conditionalFormatting sqref="AB64">
    <cfRule type="duplicateValues" dxfId="263" priority="980"/>
  </conditionalFormatting>
  <conditionalFormatting sqref="AB67">
    <cfRule type="duplicateValues" dxfId="262" priority="1187"/>
  </conditionalFormatting>
  <conditionalFormatting sqref="AB69">
    <cfRule type="duplicateValues" dxfId="261" priority="1040"/>
  </conditionalFormatting>
  <conditionalFormatting sqref="AB71:AB72 AB1:AB5 AB78:AB1048576 AB74:AB76">
    <cfRule type="duplicateValues" dxfId="260" priority="2012"/>
  </conditionalFormatting>
  <conditionalFormatting sqref="AB73">
    <cfRule type="duplicateValues" dxfId="259" priority="76"/>
    <cfRule type="duplicateValues" dxfId="258" priority="43"/>
  </conditionalFormatting>
  <conditionalFormatting sqref="AB77">
    <cfRule type="duplicateValues" dxfId="257" priority="339"/>
    <cfRule type="duplicateValues" dxfId="256" priority="306"/>
  </conditionalFormatting>
  <conditionalFormatting sqref="AC6:AC11 AC13:AC15 AC17:AC26 AC28:AC35 AC37:AC47 BK48:BK49 AC59:AC62 AC64:AC70 AC51:AC54 AC56:AC57">
    <cfRule type="duplicateValues" dxfId="255" priority="916"/>
  </conditionalFormatting>
  <conditionalFormatting sqref="AC12">
    <cfRule type="duplicateValues" dxfId="254" priority="553"/>
    <cfRule type="duplicateValues" dxfId="253" priority="588"/>
  </conditionalFormatting>
  <conditionalFormatting sqref="AC16">
    <cfRule type="duplicateValues" dxfId="252" priority="677"/>
    <cfRule type="duplicateValues" dxfId="251" priority="709"/>
  </conditionalFormatting>
  <conditionalFormatting sqref="AC19">
    <cfRule type="duplicateValues" dxfId="250" priority="951"/>
  </conditionalFormatting>
  <conditionalFormatting sqref="AC21">
    <cfRule type="duplicateValues" dxfId="249" priority="1011"/>
  </conditionalFormatting>
  <conditionalFormatting sqref="AC27">
    <cfRule type="duplicateValues" dxfId="248" priority="771"/>
    <cfRule type="duplicateValues" dxfId="247" priority="736"/>
  </conditionalFormatting>
  <conditionalFormatting sqref="AC36">
    <cfRule type="duplicateValues" dxfId="246" priority="243"/>
    <cfRule type="duplicateValues" dxfId="245" priority="278"/>
  </conditionalFormatting>
  <conditionalFormatting sqref="AC37">
    <cfRule type="duplicateValues" dxfId="244" priority="1158"/>
  </conditionalFormatting>
  <conditionalFormatting sqref="AC48">
    <cfRule type="duplicateValues" dxfId="243" priority="367"/>
    <cfRule type="duplicateValues" dxfId="242" priority="402"/>
  </conditionalFormatting>
  <conditionalFormatting sqref="AC49:AC50">
    <cfRule type="duplicateValues" dxfId="241" priority="122"/>
    <cfRule type="duplicateValues" dxfId="240" priority="157"/>
  </conditionalFormatting>
  <conditionalFormatting sqref="AC54">
    <cfRule type="duplicateValues" dxfId="239" priority="1131"/>
  </conditionalFormatting>
  <conditionalFormatting sqref="AC55">
    <cfRule type="duplicateValues" dxfId="238" priority="831"/>
    <cfRule type="duplicateValues" dxfId="237" priority="796"/>
  </conditionalFormatting>
  <conditionalFormatting sqref="AC58">
    <cfRule type="duplicateValues" dxfId="236" priority="216"/>
    <cfRule type="duplicateValues" dxfId="235" priority="181"/>
  </conditionalFormatting>
  <conditionalFormatting sqref="AC64">
    <cfRule type="duplicateValues" dxfId="234" priority="981"/>
  </conditionalFormatting>
  <conditionalFormatting sqref="AC67">
    <cfRule type="duplicateValues" dxfId="233" priority="1188"/>
  </conditionalFormatting>
  <conditionalFormatting sqref="AC69">
    <cfRule type="duplicateValues" dxfId="232" priority="1041"/>
  </conditionalFormatting>
  <conditionalFormatting sqref="AC71:AC72 AC1:AC5 AC78:AC1048576 AC74:AC76">
    <cfRule type="duplicateValues" dxfId="231" priority="2011"/>
  </conditionalFormatting>
  <conditionalFormatting sqref="AC73">
    <cfRule type="duplicateValues" dxfId="230" priority="42"/>
    <cfRule type="duplicateValues" dxfId="229" priority="77"/>
  </conditionalFormatting>
  <conditionalFormatting sqref="AC77">
    <cfRule type="duplicateValues" dxfId="228" priority="305"/>
    <cfRule type="duplicateValues" dxfId="227" priority="340"/>
  </conditionalFormatting>
  <conditionalFormatting sqref="AD6:AD11 AD13:AD15 AD17:AD26 AD28:AD35 AD37:AD47 BL48:BL49 AD59:AD62 AD64:AD70 AD51:AD54 AD56:AD57">
    <cfRule type="duplicateValues" dxfId="226" priority="915"/>
  </conditionalFormatting>
  <conditionalFormatting sqref="AD12">
    <cfRule type="duplicateValues" dxfId="225" priority="552"/>
    <cfRule type="duplicateValues" dxfId="224" priority="589"/>
  </conditionalFormatting>
  <conditionalFormatting sqref="AD16">
    <cfRule type="duplicateValues" dxfId="223" priority="710"/>
    <cfRule type="duplicateValues" dxfId="222" priority="676"/>
  </conditionalFormatting>
  <conditionalFormatting sqref="AD19">
    <cfRule type="duplicateValues" dxfId="221" priority="952"/>
  </conditionalFormatting>
  <conditionalFormatting sqref="AD21">
    <cfRule type="duplicateValues" dxfId="220" priority="1012"/>
  </conditionalFormatting>
  <conditionalFormatting sqref="AD27">
    <cfRule type="duplicateValues" dxfId="219" priority="735"/>
    <cfRule type="duplicateValues" dxfId="218" priority="772"/>
  </conditionalFormatting>
  <conditionalFormatting sqref="AD36">
    <cfRule type="duplicateValues" dxfId="217" priority="242"/>
    <cfRule type="duplicateValues" dxfId="216" priority="279"/>
  </conditionalFormatting>
  <conditionalFormatting sqref="AD37">
    <cfRule type="duplicateValues" dxfId="215" priority="1159"/>
  </conditionalFormatting>
  <conditionalFormatting sqref="AD48">
    <cfRule type="duplicateValues" dxfId="214" priority="366"/>
    <cfRule type="duplicateValues" dxfId="213" priority="403"/>
  </conditionalFormatting>
  <conditionalFormatting sqref="AD49:AD50">
    <cfRule type="duplicateValues" dxfId="212" priority="121"/>
    <cfRule type="duplicateValues" dxfId="211" priority="158"/>
  </conditionalFormatting>
  <conditionalFormatting sqref="AD54">
    <cfRule type="duplicateValues" dxfId="210" priority="1132"/>
  </conditionalFormatting>
  <conditionalFormatting sqref="AD55">
    <cfRule type="duplicateValues" dxfId="209" priority="795"/>
    <cfRule type="duplicateValues" dxfId="208" priority="832"/>
  </conditionalFormatting>
  <conditionalFormatting sqref="AD58">
    <cfRule type="duplicateValues" dxfId="207" priority="180"/>
    <cfRule type="duplicateValues" dxfId="206" priority="217"/>
  </conditionalFormatting>
  <conditionalFormatting sqref="AD64">
    <cfRule type="duplicateValues" dxfId="205" priority="982"/>
  </conditionalFormatting>
  <conditionalFormatting sqref="AD67">
    <cfRule type="duplicateValues" dxfId="204" priority="1189"/>
  </conditionalFormatting>
  <conditionalFormatting sqref="AD69">
    <cfRule type="duplicateValues" dxfId="203" priority="1042"/>
  </conditionalFormatting>
  <conditionalFormatting sqref="AD71:AD72 AD1:AD5 AD78:AD1048576 AD74:AD76">
    <cfRule type="duplicateValues" dxfId="202" priority="2005"/>
  </conditionalFormatting>
  <conditionalFormatting sqref="AD73">
    <cfRule type="duplicateValues" dxfId="201" priority="41"/>
    <cfRule type="duplicateValues" dxfId="200" priority="78"/>
  </conditionalFormatting>
  <conditionalFormatting sqref="AD77">
    <cfRule type="duplicateValues" dxfId="199" priority="341"/>
    <cfRule type="duplicateValues" dxfId="198" priority="304"/>
  </conditionalFormatting>
  <conditionalFormatting sqref="AE12">
    <cfRule type="duplicateValues" dxfId="197" priority="590"/>
  </conditionalFormatting>
  <conditionalFormatting sqref="AE16">
    <cfRule type="duplicateValues" dxfId="196" priority="711"/>
  </conditionalFormatting>
  <conditionalFormatting sqref="AE19">
    <cfRule type="duplicateValues" dxfId="195" priority="953"/>
  </conditionalFormatting>
  <conditionalFormatting sqref="AE21">
    <cfRule type="duplicateValues" dxfId="194" priority="1013"/>
  </conditionalFormatting>
  <conditionalFormatting sqref="AE27">
    <cfRule type="duplicateValues" dxfId="193" priority="773"/>
  </conditionalFormatting>
  <conditionalFormatting sqref="AE36">
    <cfRule type="duplicateValues" dxfId="192" priority="280"/>
  </conditionalFormatting>
  <conditionalFormatting sqref="AE37">
    <cfRule type="duplicateValues" dxfId="191" priority="1160"/>
  </conditionalFormatting>
  <conditionalFormatting sqref="AE48">
    <cfRule type="duplicateValues" dxfId="190" priority="404"/>
  </conditionalFormatting>
  <conditionalFormatting sqref="AE49:AE50">
    <cfRule type="duplicateValues" dxfId="189" priority="159"/>
  </conditionalFormatting>
  <conditionalFormatting sqref="AE54">
    <cfRule type="duplicateValues" dxfId="188" priority="1133"/>
  </conditionalFormatting>
  <conditionalFormatting sqref="AE55">
    <cfRule type="duplicateValues" dxfId="187" priority="833"/>
  </conditionalFormatting>
  <conditionalFormatting sqref="AE58">
    <cfRule type="duplicateValues" dxfId="186" priority="218"/>
  </conditionalFormatting>
  <conditionalFormatting sqref="AE64">
    <cfRule type="duplicateValues" dxfId="185" priority="983"/>
  </conditionalFormatting>
  <conditionalFormatting sqref="AE67">
    <cfRule type="duplicateValues" dxfId="184" priority="1190"/>
  </conditionalFormatting>
  <conditionalFormatting sqref="AE69">
    <cfRule type="duplicateValues" dxfId="183" priority="1043"/>
  </conditionalFormatting>
  <conditionalFormatting sqref="AE71:AE72 AE1:AE5 AE78:AE1048576 AE74:AE76">
    <cfRule type="duplicateValues" dxfId="182" priority="2009"/>
  </conditionalFormatting>
  <conditionalFormatting sqref="AE73">
    <cfRule type="duplicateValues" dxfId="181" priority="79"/>
  </conditionalFormatting>
  <conditionalFormatting sqref="AE77">
    <cfRule type="duplicateValues" dxfId="180" priority="342"/>
  </conditionalFormatting>
  <conditionalFormatting sqref="AF6:AF11 AF13:AF15 AF17:AF18 AF20 AF22:AF26 AF28:AF35 AF59:AF62 AF70 AF68 AF65:AF66 AF56:AF57 AF51:AF53 AF38:AF48">
    <cfRule type="duplicateValues" dxfId="179" priority="2365"/>
  </conditionalFormatting>
  <conditionalFormatting sqref="AF6:AF11 AF13:AF15 AF17:AF26 AF28:AF35 AF59:AF62 AF64:AF70 AF51:AF54 AF56:AF57 AF37:AF48">
    <cfRule type="duplicateValues" dxfId="178" priority="914"/>
  </conditionalFormatting>
  <conditionalFormatting sqref="AF12">
    <cfRule type="duplicateValues" dxfId="177" priority="591"/>
    <cfRule type="duplicateValues" dxfId="176" priority="551"/>
  </conditionalFormatting>
  <conditionalFormatting sqref="AF16">
    <cfRule type="duplicateValues" dxfId="175" priority="712"/>
    <cfRule type="duplicateValues" dxfId="174" priority="675"/>
  </conditionalFormatting>
  <conditionalFormatting sqref="AF19">
    <cfRule type="duplicateValues" dxfId="173" priority="954"/>
  </conditionalFormatting>
  <conditionalFormatting sqref="AF21">
    <cfRule type="duplicateValues" dxfId="172" priority="1014"/>
  </conditionalFormatting>
  <conditionalFormatting sqref="AF27">
    <cfRule type="duplicateValues" dxfId="171" priority="774"/>
    <cfRule type="duplicateValues" dxfId="170" priority="734"/>
  </conditionalFormatting>
  <conditionalFormatting sqref="AF36">
    <cfRule type="duplicateValues" dxfId="169" priority="281"/>
    <cfRule type="duplicateValues" dxfId="168" priority="241"/>
  </conditionalFormatting>
  <conditionalFormatting sqref="AF37">
    <cfRule type="duplicateValues" dxfId="167" priority="1161"/>
  </conditionalFormatting>
  <conditionalFormatting sqref="AF54">
    <cfRule type="duplicateValues" dxfId="166" priority="1134"/>
  </conditionalFormatting>
  <conditionalFormatting sqref="AF55">
    <cfRule type="duplicateValues" dxfId="165" priority="834"/>
    <cfRule type="duplicateValues" dxfId="164" priority="794"/>
  </conditionalFormatting>
  <conditionalFormatting sqref="AF58">
    <cfRule type="duplicateValues" dxfId="163" priority="179"/>
    <cfRule type="duplicateValues" dxfId="162" priority="219"/>
  </conditionalFormatting>
  <conditionalFormatting sqref="AF63">
    <cfRule type="duplicateValues" dxfId="161" priority="489"/>
    <cfRule type="duplicateValues" dxfId="160" priority="529"/>
  </conditionalFormatting>
  <conditionalFormatting sqref="AF64">
    <cfRule type="duplicateValues" dxfId="159" priority="984"/>
  </conditionalFormatting>
  <conditionalFormatting sqref="AF67">
    <cfRule type="duplicateValues" dxfId="158" priority="1191"/>
  </conditionalFormatting>
  <conditionalFormatting sqref="AF69">
    <cfRule type="duplicateValues" dxfId="157" priority="1044"/>
  </conditionalFormatting>
  <conditionalFormatting sqref="AF71:AF72 AF1:AF5 AF78:AF1048576 AF74:AF76">
    <cfRule type="duplicateValues" dxfId="156" priority="2008"/>
  </conditionalFormatting>
  <conditionalFormatting sqref="AF73">
    <cfRule type="duplicateValues" dxfId="155" priority="40"/>
    <cfRule type="duplicateValues" dxfId="154" priority="80"/>
  </conditionalFormatting>
  <conditionalFormatting sqref="AF77">
    <cfRule type="duplicateValues" dxfId="153" priority="343"/>
    <cfRule type="duplicateValues" dxfId="152" priority="303"/>
  </conditionalFormatting>
  <conditionalFormatting sqref="AG6:AG11 AG13:AG15 AG17:AG18 AG20 AG22:AG26 AG28:AG35 AG59:AG62 AG70 AG68 AG65:AG66 AG56:AG57 AG51:AG53 AG38:AG48">
    <cfRule type="duplicateValues" dxfId="151" priority="2366"/>
  </conditionalFormatting>
  <conditionalFormatting sqref="AG6:AG11 AG13:AG15 AG17:AG26 AG28:AG35 AG59:AG62 AG64:AG70 AG51:AG54 AG56:AG57 AG37:AG48">
    <cfRule type="duplicateValues" dxfId="150" priority="913"/>
  </conditionalFormatting>
  <conditionalFormatting sqref="AG12">
    <cfRule type="duplicateValues" dxfId="149" priority="550"/>
    <cfRule type="duplicateValues" dxfId="148" priority="592"/>
  </conditionalFormatting>
  <conditionalFormatting sqref="AG16">
    <cfRule type="duplicateValues" dxfId="147" priority="674"/>
    <cfRule type="duplicateValues" dxfId="146" priority="713"/>
  </conditionalFormatting>
  <conditionalFormatting sqref="AG19">
    <cfRule type="duplicateValues" dxfId="145" priority="955"/>
  </conditionalFormatting>
  <conditionalFormatting sqref="AG21">
    <cfRule type="duplicateValues" dxfId="144" priority="1015"/>
  </conditionalFormatting>
  <conditionalFormatting sqref="AG27">
    <cfRule type="duplicateValues" dxfId="143" priority="733"/>
    <cfRule type="duplicateValues" dxfId="142" priority="775"/>
  </conditionalFormatting>
  <conditionalFormatting sqref="AG36">
    <cfRule type="duplicateValues" dxfId="141" priority="240"/>
    <cfRule type="duplicateValues" dxfId="140" priority="282"/>
  </conditionalFormatting>
  <conditionalFormatting sqref="AG37">
    <cfRule type="duplicateValues" dxfId="139" priority="1162"/>
  </conditionalFormatting>
  <conditionalFormatting sqref="AG54">
    <cfRule type="duplicateValues" dxfId="138" priority="1135"/>
  </conditionalFormatting>
  <conditionalFormatting sqref="AG55">
    <cfRule type="duplicateValues" dxfId="137" priority="793"/>
    <cfRule type="duplicateValues" dxfId="136" priority="835"/>
  </conditionalFormatting>
  <conditionalFormatting sqref="AG58">
    <cfRule type="duplicateValues" dxfId="135" priority="220"/>
    <cfRule type="duplicateValues" dxfId="134" priority="178"/>
  </conditionalFormatting>
  <conditionalFormatting sqref="AG63">
    <cfRule type="duplicateValues" dxfId="133" priority="488"/>
    <cfRule type="duplicateValues" dxfId="132" priority="530"/>
  </conditionalFormatting>
  <conditionalFormatting sqref="AG64">
    <cfRule type="duplicateValues" dxfId="131" priority="985"/>
  </conditionalFormatting>
  <conditionalFormatting sqref="AG67">
    <cfRule type="duplicateValues" dxfId="130" priority="1192"/>
  </conditionalFormatting>
  <conditionalFormatting sqref="AG69">
    <cfRule type="duplicateValues" dxfId="129" priority="1045"/>
  </conditionalFormatting>
  <conditionalFormatting sqref="AG71:AG72 AG1:AG5 AG78:AG1048576 AG74:AG76">
    <cfRule type="duplicateValues" dxfId="128" priority="2007"/>
  </conditionalFormatting>
  <conditionalFormatting sqref="AG73">
    <cfRule type="duplicateValues" dxfId="127" priority="81"/>
    <cfRule type="duplicateValues" dxfId="126" priority="39"/>
  </conditionalFormatting>
  <conditionalFormatting sqref="AG77">
    <cfRule type="duplicateValues" dxfId="125" priority="344"/>
    <cfRule type="duplicateValues" dxfId="124" priority="302"/>
  </conditionalFormatting>
  <conditionalFormatting sqref="AH6:AH11 AH13:AH15 AH17:AH18 AH20 AH22:AH26 AH28:AH35 AH59:AH62 AH70 AH68 AH65:AH66 AH55:AH57 AH51:AH53 AH38:AH48">
    <cfRule type="duplicateValues" dxfId="123" priority="2367"/>
  </conditionalFormatting>
  <conditionalFormatting sqref="AH6:AH11 AH13:AH15 AH17:AH26 AH28:AH35 AH59:AH62 AH64:AH70 AH51:AH57 AH37:AH48">
    <cfRule type="duplicateValues" priority="912"/>
    <cfRule type="duplicateValues" dxfId="122" priority="911"/>
  </conditionalFormatting>
  <conditionalFormatting sqref="AH12">
    <cfRule type="duplicateValues" dxfId="121" priority="548"/>
    <cfRule type="duplicateValues" dxfId="120" priority="593"/>
    <cfRule type="duplicateValues" priority="549"/>
  </conditionalFormatting>
  <conditionalFormatting sqref="AH16">
    <cfRule type="duplicateValues" dxfId="119" priority="714"/>
    <cfRule type="duplicateValues" priority="673"/>
    <cfRule type="duplicateValues" dxfId="118" priority="672"/>
  </conditionalFormatting>
  <conditionalFormatting sqref="AH19">
    <cfRule type="duplicateValues" dxfId="117" priority="956"/>
  </conditionalFormatting>
  <conditionalFormatting sqref="AH21">
    <cfRule type="duplicateValues" dxfId="116" priority="1016"/>
  </conditionalFormatting>
  <conditionalFormatting sqref="AH27">
    <cfRule type="duplicateValues" priority="732"/>
    <cfRule type="duplicateValues" dxfId="115" priority="776"/>
    <cfRule type="duplicateValues" dxfId="114" priority="731"/>
  </conditionalFormatting>
  <conditionalFormatting sqref="AH36">
    <cfRule type="duplicateValues" dxfId="113" priority="283"/>
    <cfRule type="duplicateValues" priority="239"/>
    <cfRule type="duplicateValues" dxfId="112" priority="238"/>
  </conditionalFormatting>
  <conditionalFormatting sqref="AH37">
    <cfRule type="duplicateValues" dxfId="111" priority="1163"/>
  </conditionalFormatting>
  <conditionalFormatting sqref="AH49:AH50">
    <cfRule type="duplicateValues" dxfId="110" priority="407"/>
    <cfRule type="duplicateValues" dxfId="109" priority="362"/>
    <cfRule type="duplicateValues" priority="363"/>
  </conditionalFormatting>
  <conditionalFormatting sqref="AH54">
    <cfRule type="duplicateValues" dxfId="108" priority="1136"/>
  </conditionalFormatting>
  <conditionalFormatting sqref="AH58">
    <cfRule type="duplicateValues" dxfId="107" priority="176"/>
    <cfRule type="duplicateValues" priority="177"/>
    <cfRule type="duplicateValues" dxfId="106" priority="221"/>
  </conditionalFormatting>
  <conditionalFormatting sqref="AH63">
    <cfRule type="duplicateValues" dxfId="105" priority="531"/>
    <cfRule type="duplicateValues" priority="487"/>
    <cfRule type="duplicateValues" dxfId="104" priority="486"/>
  </conditionalFormatting>
  <conditionalFormatting sqref="AH64">
    <cfRule type="duplicateValues" dxfId="103" priority="986"/>
  </conditionalFormatting>
  <conditionalFormatting sqref="AH67">
    <cfRule type="duplicateValues" dxfId="102" priority="1193"/>
  </conditionalFormatting>
  <conditionalFormatting sqref="AH69">
    <cfRule type="duplicateValues" dxfId="101" priority="1046"/>
  </conditionalFormatting>
  <conditionalFormatting sqref="AH71:AH72 AH1:AH5 AH78:AH1048576 AH74:AH76">
    <cfRule type="duplicateValues" dxfId="100" priority="2006"/>
  </conditionalFormatting>
  <conditionalFormatting sqref="AH73">
    <cfRule type="duplicateValues" dxfId="99" priority="37"/>
    <cfRule type="duplicateValues" priority="38"/>
    <cfRule type="duplicateValues" dxfId="98" priority="82"/>
  </conditionalFormatting>
  <conditionalFormatting sqref="AH77">
    <cfRule type="duplicateValues" dxfId="97" priority="345"/>
    <cfRule type="duplicateValues" dxfId="96" priority="300"/>
    <cfRule type="duplicateValues" priority="301"/>
  </conditionalFormatting>
  <conditionalFormatting sqref="AM48:AM49 E10:E11 E6:E8 E13:E15 E17:E18 E20 E22:E26 E28:E35 E37:E47 E56:E57 E51:E53 E59:E62 E70 E68 E65:E66">
    <cfRule type="duplicateValues" dxfId="95" priority="2484"/>
  </conditionalFormatting>
  <conditionalFormatting sqref="AN48:AN49 F6 F8 F10:F11 F13:F15 F17:F18 F20 F22:F26 F28:F35 F37:F47 F56:F57 F51:F53 F59:F62 F70 F68 F65:F66">
    <cfRule type="duplicateValues" dxfId="94" priority="2601"/>
  </conditionalFormatting>
  <conditionalFormatting sqref="AO48:AO49 H8">
    <cfRule type="duplicateValues" dxfId="93" priority="2718"/>
  </conditionalFormatting>
  <conditionalFormatting sqref="AP48:AP49 H6:H7 H13:H15 H17:H18 H20 H22:H26 H28:H35 H56:H57 H51:H53 H59:H62 H70 H68 H65:H66 H38:H48 H10:H11">
    <cfRule type="duplicateValues" dxfId="92" priority="2835"/>
  </conditionalFormatting>
  <conditionalFormatting sqref="AQ48:AQ49 I7:I11 I13:I15 I17:I18 I20 I22:I26 I28:I35 I56:I57 I51:I53 I59:I62 I70 I68 I65:I66 I38:I48">
    <cfRule type="duplicateValues" dxfId="91" priority="2962"/>
  </conditionalFormatting>
  <conditionalFormatting sqref="AR48:AR49 J6:J11 J13:J15 J17:J18 J20 J22:J26 J28:J35 J56:J57 J51:J53 J59:J62 J70 J68 J65:J66 J38:J48">
    <cfRule type="duplicateValues" dxfId="90" priority="2342"/>
  </conditionalFormatting>
  <conditionalFormatting sqref="AS48:AS49 K6:K11 K13:K15 K17:K18 K20 K22:K26 K28:K35 K38:K47 K55:K57 K51:K53 K59:K62 K70 K68 K65:K66">
    <cfRule type="duplicateValues" dxfId="89" priority="2343"/>
  </conditionalFormatting>
  <conditionalFormatting sqref="AT48:AT49 L6:L11 L13:L15 L17:L18 L20 L22:L26 L28:L35 L38:L47 L55:L57 L51:L53 L59:L62 L70 L68 L65:L66">
    <cfRule type="duplicateValues" dxfId="88" priority="2344"/>
  </conditionalFormatting>
  <conditionalFormatting sqref="AU48:AU49 M6:M11 M13:M15 M17:M18 M20 M22:M26 M28:M35 M38:M45 M55:M57 M51:M53 M59:M62 M70 M68 M65:M66 M47">
    <cfRule type="duplicateValues" dxfId="87" priority="2345"/>
  </conditionalFormatting>
  <conditionalFormatting sqref="AV48:AV49 N6:N11 N13:N15 N17:N18 N20 N22:N26 N28:N35 N38:N47 N55:N56 N51:N53 N60:N62 N70 N68 N65:N66">
    <cfRule type="duplicateValues" dxfId="86" priority="2346"/>
  </conditionalFormatting>
  <conditionalFormatting sqref="AW48:AW49 O6:O11 O13:O15 O17:O18 O20 O22:O26 O28:O35 O38:O45 O55:O56 O51:O53 O60:O62 O70 O68 O65:O66 O47">
    <cfRule type="duplicateValues" dxfId="85" priority="2347"/>
  </conditionalFormatting>
  <conditionalFormatting sqref="AX48:AX49 P6:P11 P13:P15 P17:P18 P20 P22:P26 P28:P35 P55:P56 P51:P53 P59:P62 P70 P68 P65:P66 P38:P48">
    <cfRule type="duplicateValues" dxfId="84" priority="2348"/>
  </conditionalFormatting>
  <conditionalFormatting sqref="AY48:AY49 Q6:Q11 Q13:Q15 Q17:Q18 Q20 Q22:Q26 Q28:Q35 Q38:Q47 Q55:Q57 Q51:Q53 Q59:Q62 Q70 Q68 Q65:Q66">
    <cfRule type="duplicateValues" dxfId="83" priority="2349"/>
  </conditionalFormatting>
  <conditionalFormatting sqref="AZ48:AZ49 R6:R11 R13:R15 R17:R18 R20 R22:R26 R28:R35 R38:R47 R55:R57 R51:R53 R59:R62 R70 R68 R65:R66">
    <cfRule type="duplicateValues" dxfId="82" priority="2350"/>
  </conditionalFormatting>
  <conditionalFormatting sqref="BA48:BA49 S6:S11 S13:S15 S17:S18 S20 S22:S26 S28:S35 S38:S47 S55:S57 S51:S53 S59:S62 S70 S68 S65:S66">
    <cfRule type="duplicateValues" dxfId="81" priority="2351"/>
  </conditionalFormatting>
  <conditionalFormatting sqref="BB48:BB49 T6:T11 T13:T15 T17:T18 T20 T22:T26 T28:T35 T56:T57 T51:T53 T59:T62 T70 T68 T65:T66 T38:T48">
    <cfRule type="duplicateValues" dxfId="80" priority="2352"/>
  </conditionalFormatting>
  <conditionalFormatting sqref="BC48:BC49 U6:U11 U13:U15 U17:U18 U20 U22:U26 U28:U35 U56 U51:U53 U59:U62 U70 U68 U65:U66 U38:U48">
    <cfRule type="duplicateValues" dxfId="79" priority="2354"/>
  </conditionalFormatting>
  <conditionalFormatting sqref="BD48:BD49 V6:V11 V13:V15 V17:V18 V20 V22:V26 V28:V35 V55:V56 V51:V53 V59:V62 V70 V68 V65:V66 V38:V48">
    <cfRule type="duplicateValues" dxfId="78" priority="2355"/>
  </conditionalFormatting>
  <conditionalFormatting sqref="BE48:BE49 W6:W11 W13:W15 W17:W18 W20 W22:W26 W28:W35 W38:W47 W55:W57 W51:W53 W59:W62 W70 W68 W65:W66">
    <cfRule type="duplicateValues" dxfId="77" priority="2356"/>
  </conditionalFormatting>
  <conditionalFormatting sqref="BF48:BF49 X6:X11 X13:X15 X17:X18 X20 X22:X26 X28:X35 X38:X47 X55:X57 X51:X53 X59:X62 X70 X68 X65:X66">
    <cfRule type="duplicateValues" dxfId="76" priority="2357"/>
  </conditionalFormatting>
  <conditionalFormatting sqref="BG48:BG49 Y6:Y11 Y13:Y15 Y17:Y18 Y20 Y22:Y26 Y28:Y35 Y38:Y47 Y55:Y57 Y51:Y53 Y59:Y62 Y70 Y68 Y65:Y66">
    <cfRule type="duplicateValues" dxfId="75" priority="2358"/>
  </conditionalFormatting>
  <conditionalFormatting sqref="BH48:BH49 Z6:Z7 Z9:Z11 Z13:Z15 Z17:Z18 Z20 Z22:Z26 Z28:Z35 Z38:Z47 Z56 Z51:Z53 Z59:Z62 Z70 Z68 Z65:Z66">
    <cfRule type="duplicateValues" dxfId="74" priority="2359"/>
  </conditionalFormatting>
  <conditionalFormatting sqref="BI48:BI49 AA6:AA11 AA13:AA15 AA17:AA18 AA20 AA22:AA26 AA28:AA35 AA38:AA47 AA56 AA51:AA53 AA59:AA62 AA70 AA68 AA65:AA66">
    <cfRule type="duplicateValues" dxfId="73" priority="2360"/>
  </conditionalFormatting>
  <conditionalFormatting sqref="BJ48:BJ49 AB6:AB11 AB13:AB15 AB17:AB18 AB20 AB22:AB26 AB28:AB35 AB55:AB57 AB51:AB53 AB59:AB62 AB70 AB68 AB65:AB66 AB38:AB48">
    <cfRule type="duplicateValues" dxfId="72" priority="2361"/>
  </conditionalFormatting>
  <conditionalFormatting sqref="BK48:BK49 AC6:AC11 AC13:AC15 AC17:AC18 AC20 AC22:AC26 AC28:AC35 AC38:AC47 AC56:AC57 AC51:AC53 AC59:AC62 AC70 AC68 AC65:AC66">
    <cfRule type="duplicateValues" dxfId="71" priority="2362"/>
  </conditionalFormatting>
  <conditionalFormatting sqref="BL48:BL49 AD6:AD11 AD13:AD15 AD17:AD18 AD20 AD22:AD26 AD28:AD35 AD38:AD47 AD56:AD57 AD51:AD53 AD59:AD62 AD70 AD68 AD65:AD66">
    <cfRule type="duplicateValues" dxfId="70" priority="2363"/>
  </conditionalFormatting>
  <conditionalFormatting sqref="BM48:BM49 AE6:AE11 AE13:AE15 AE17:AE18 AE20 AE22:AE26 AE28:AE35 AE38:AE47 AE56:AE57 AE51:AE53 AE59:AE62 AE70 AE68 AE65:AE66">
    <cfRule type="duplicateValues" dxfId="69" priority="2364"/>
  </conditionalFormatting>
  <printOptions horizontalCentered="1" verticalCentered="1"/>
  <pageMargins left="0.70833333333333304" right="0" top="0" bottom="0" header="0" footer="0"/>
  <pageSetup scale="1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8:J13"/>
  <sheetViews>
    <sheetView workbookViewId="0">
      <selection activeCell="D13" sqref="D13"/>
    </sheetView>
  </sheetViews>
  <sheetFormatPr baseColWidth="10" defaultColWidth="11" defaultRowHeight="15"/>
  <cols>
    <col min="4" max="4" width="27.28515625" bestFit="1" customWidth="1"/>
    <col min="10" max="10" width="28.85546875" bestFit="1" customWidth="1"/>
  </cols>
  <sheetData>
    <row r="8" spans="4:10">
      <c r="D8" s="380">
        <v>46083</v>
      </c>
      <c r="G8" s="378" t="s">
        <v>227</v>
      </c>
      <c r="J8" s="379">
        <f ca="1">+TODAY()</f>
        <v>46085</v>
      </c>
    </row>
    <row r="9" spans="4:10">
      <c r="D9" s="381">
        <v>46084</v>
      </c>
    </row>
    <row r="10" spans="4:10">
      <c r="D10" s="380">
        <v>46085</v>
      </c>
    </row>
    <row r="11" spans="4:10">
      <c r="D11" s="380">
        <v>46086</v>
      </c>
    </row>
    <row r="12" spans="4:10">
      <c r="D12" s="380">
        <v>46087</v>
      </c>
    </row>
    <row r="13" spans="4:10">
      <c r="D13" s="380">
        <v>46088</v>
      </c>
    </row>
  </sheetData>
  <phoneticPr fontId="50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view="pageBreakPreview" zoomScaleNormal="90" workbookViewId="0">
      <selection activeCell="A4" sqref="A4"/>
    </sheetView>
  </sheetViews>
  <sheetFormatPr baseColWidth="10" defaultColWidth="12.5703125" defaultRowHeight="15"/>
  <cols>
    <col min="1" max="1" width="7.42578125" customWidth="1"/>
    <col min="2" max="2" width="13.85546875" customWidth="1"/>
    <col min="3" max="3" width="21.42578125" style="5" customWidth="1"/>
    <col min="4" max="4" width="13" style="5" customWidth="1"/>
    <col min="5" max="6" width="13.5703125" style="5" customWidth="1"/>
    <col min="7" max="8" width="12.42578125" style="5" customWidth="1"/>
  </cols>
  <sheetData>
    <row r="1" spans="1:9" ht="24.95" customHeight="1">
      <c r="A1" s="435" t="s">
        <v>170</v>
      </c>
      <c r="B1" s="436"/>
      <c r="C1" s="436"/>
      <c r="D1" s="436"/>
      <c r="E1" s="436"/>
      <c r="F1" s="436"/>
      <c r="G1" s="436"/>
      <c r="H1" s="437"/>
    </row>
    <row r="2" spans="1:9" ht="24.95" customHeight="1">
      <c r="A2" s="438" t="s">
        <v>171</v>
      </c>
      <c r="B2" s="439"/>
      <c r="C2" s="439"/>
      <c r="D2" s="439"/>
      <c r="E2" s="439"/>
      <c r="F2" s="439"/>
      <c r="G2" s="439"/>
      <c r="H2" s="440"/>
    </row>
    <row r="3" spans="1:9" ht="24.95" customHeight="1">
      <c r="A3" s="6" t="s">
        <v>172</v>
      </c>
      <c r="B3" s="7"/>
      <c r="C3" s="441">
        <f>FECHAS!D13</f>
        <v>46088</v>
      </c>
      <c r="D3" s="441"/>
      <c r="E3" s="441"/>
      <c r="F3" s="441"/>
      <c r="G3" s="441" t="str">
        <f>FECHAS!G8</f>
        <v xml:space="preserve">SEM 9 LIC </v>
      </c>
      <c r="H3" s="442"/>
    </row>
    <row r="4" spans="1:9" ht="24.95" customHeight="1">
      <c r="A4" s="8" t="s">
        <v>173</v>
      </c>
      <c r="B4" s="9" t="s">
        <v>12</v>
      </c>
      <c r="C4" s="10" t="s">
        <v>13</v>
      </c>
      <c r="D4" s="11">
        <v>0.29166666666666702</v>
      </c>
      <c r="E4" s="12">
        <v>0.32638888888888901</v>
      </c>
      <c r="F4" s="12">
        <v>0.36111111111111099</v>
      </c>
      <c r="G4" s="12">
        <v>0.39583333333333298</v>
      </c>
      <c r="H4" s="12">
        <v>0.44444444444444398</v>
      </c>
    </row>
    <row r="5" spans="1:9" ht="30" customHeight="1">
      <c r="A5" s="13"/>
      <c r="B5" s="14"/>
      <c r="C5" s="15"/>
      <c r="D5" s="16"/>
      <c r="E5" s="17"/>
      <c r="F5" s="17"/>
      <c r="G5" s="17"/>
      <c r="H5" s="18"/>
    </row>
    <row r="6" spans="1:9" ht="30" customHeight="1">
      <c r="A6" s="19">
        <v>2</v>
      </c>
      <c r="B6" s="20" t="s">
        <v>122</v>
      </c>
      <c r="C6" s="21" t="s">
        <v>174</v>
      </c>
      <c r="D6" s="22" t="s">
        <v>29</v>
      </c>
      <c r="E6" s="23" t="s">
        <v>29</v>
      </c>
      <c r="F6" s="23">
        <v>1579</v>
      </c>
      <c r="G6" s="23">
        <v>1579</v>
      </c>
      <c r="H6" s="24"/>
    </row>
    <row r="7" spans="1:9" ht="30" customHeight="1">
      <c r="A7" s="25">
        <v>3</v>
      </c>
      <c r="B7" s="26" t="s">
        <v>175</v>
      </c>
      <c r="C7" s="27" t="s">
        <v>176</v>
      </c>
      <c r="D7" s="22"/>
      <c r="E7" s="23" t="s">
        <v>177</v>
      </c>
      <c r="F7" s="23">
        <v>2179</v>
      </c>
      <c r="G7" s="23">
        <v>2179</v>
      </c>
      <c r="H7" s="24">
        <v>2179</v>
      </c>
    </row>
    <row r="8" spans="1:9" ht="30" customHeight="1">
      <c r="A8" s="25">
        <v>4</v>
      </c>
      <c r="B8" s="26" t="s">
        <v>178</v>
      </c>
      <c r="C8" s="21" t="s">
        <v>176</v>
      </c>
      <c r="D8" s="22">
        <v>1534</v>
      </c>
      <c r="E8" s="23">
        <v>1534</v>
      </c>
      <c r="F8" s="23">
        <v>2310</v>
      </c>
      <c r="G8" s="23">
        <v>2310</v>
      </c>
      <c r="H8" s="24">
        <v>2310</v>
      </c>
    </row>
    <row r="9" spans="1:9" ht="30" customHeight="1">
      <c r="A9" s="19" t="s">
        <v>179</v>
      </c>
      <c r="B9" s="26"/>
      <c r="C9" s="27"/>
      <c r="D9" s="22"/>
      <c r="E9" s="23"/>
      <c r="F9" s="23"/>
      <c r="G9" s="23"/>
      <c r="H9" s="24"/>
      <c r="I9" s="5"/>
    </row>
    <row r="10" spans="1:9" ht="30" customHeight="1">
      <c r="A10" s="19">
        <v>5</v>
      </c>
      <c r="B10" s="26" t="s">
        <v>180</v>
      </c>
      <c r="C10" s="27" t="s">
        <v>174</v>
      </c>
      <c r="D10" s="22">
        <v>765</v>
      </c>
      <c r="E10" s="23">
        <v>1579</v>
      </c>
      <c r="F10" s="23" t="s">
        <v>126</v>
      </c>
      <c r="G10" s="23"/>
      <c r="H10" s="24"/>
      <c r="I10" s="5"/>
    </row>
    <row r="11" spans="1:9" ht="30" customHeight="1">
      <c r="A11" s="19">
        <v>7</v>
      </c>
      <c r="B11" s="28"/>
      <c r="C11" s="27"/>
      <c r="D11" s="22"/>
      <c r="E11" s="23"/>
      <c r="F11" s="23"/>
      <c r="G11" s="23"/>
      <c r="H11" s="24"/>
    </row>
    <row r="12" spans="1:9" ht="30" customHeight="1">
      <c r="A12" s="25">
        <v>8</v>
      </c>
      <c r="B12" s="28" t="s">
        <v>178</v>
      </c>
      <c r="C12" s="27" t="s">
        <v>181</v>
      </c>
      <c r="D12" s="22">
        <v>2182</v>
      </c>
      <c r="E12" s="23">
        <v>2182</v>
      </c>
      <c r="F12" s="23">
        <v>2182</v>
      </c>
      <c r="G12" s="23"/>
      <c r="H12" s="24"/>
    </row>
    <row r="13" spans="1:9" ht="30" customHeight="1">
      <c r="A13" s="25">
        <v>9</v>
      </c>
      <c r="B13" s="26" t="s">
        <v>182</v>
      </c>
      <c r="C13" s="27" t="s">
        <v>174</v>
      </c>
      <c r="D13" s="22" t="s">
        <v>117</v>
      </c>
      <c r="E13" s="23" t="s">
        <v>117</v>
      </c>
      <c r="F13" s="23" t="s">
        <v>117</v>
      </c>
      <c r="G13" s="23"/>
      <c r="H13" s="24"/>
    </row>
    <row r="14" spans="1:9" ht="30" customHeight="1">
      <c r="A14" s="25">
        <v>101</v>
      </c>
      <c r="B14" s="26"/>
      <c r="C14" s="21"/>
      <c r="D14" s="22"/>
      <c r="E14" s="23"/>
      <c r="F14" s="23"/>
      <c r="G14" s="23"/>
      <c r="H14" s="24"/>
    </row>
    <row r="15" spans="1:9" ht="30" customHeight="1">
      <c r="A15" s="25">
        <v>102</v>
      </c>
      <c r="B15" s="26" t="s">
        <v>178</v>
      </c>
      <c r="C15" s="21" t="s">
        <v>183</v>
      </c>
      <c r="D15" s="22">
        <v>2338</v>
      </c>
      <c r="E15" s="23">
        <v>245</v>
      </c>
      <c r="F15" s="23">
        <v>2338</v>
      </c>
      <c r="G15" s="23">
        <v>848</v>
      </c>
      <c r="H15" s="24">
        <v>848</v>
      </c>
    </row>
    <row r="16" spans="1:9" ht="30" customHeight="1">
      <c r="A16" s="25">
        <v>103</v>
      </c>
      <c r="B16" s="29" t="s">
        <v>122</v>
      </c>
      <c r="C16" s="21" t="s">
        <v>183</v>
      </c>
      <c r="D16" s="22">
        <v>245</v>
      </c>
      <c r="E16" s="23">
        <v>848</v>
      </c>
      <c r="F16" s="23">
        <v>848</v>
      </c>
      <c r="G16" s="23">
        <v>1502</v>
      </c>
      <c r="H16" s="24">
        <v>1502</v>
      </c>
    </row>
    <row r="17" spans="1:8" ht="30" customHeight="1">
      <c r="A17" s="25">
        <v>104</v>
      </c>
      <c r="B17" s="26" t="s">
        <v>122</v>
      </c>
      <c r="C17" s="21" t="s">
        <v>184</v>
      </c>
      <c r="D17" s="22">
        <v>2154</v>
      </c>
      <c r="E17" s="23">
        <v>2154</v>
      </c>
      <c r="F17" s="23">
        <v>2154</v>
      </c>
      <c r="G17" s="23"/>
      <c r="H17" s="24"/>
    </row>
    <row r="18" spans="1:8" ht="30" customHeight="1">
      <c r="A18" s="25">
        <v>201</v>
      </c>
      <c r="B18" s="30"/>
      <c r="C18" s="21"/>
      <c r="D18" s="31"/>
      <c r="E18" s="32"/>
      <c r="F18" s="32"/>
      <c r="G18" s="32"/>
      <c r="H18" s="33"/>
    </row>
    <row r="19" spans="1:8" ht="30" customHeight="1">
      <c r="A19" s="25">
        <v>212</v>
      </c>
      <c r="B19" s="28"/>
      <c r="C19" s="34"/>
      <c r="D19" s="35"/>
      <c r="E19" s="32"/>
      <c r="F19" s="32"/>
      <c r="G19" s="32"/>
      <c r="H19" s="33"/>
    </row>
    <row r="20" spans="1:8" ht="30" customHeight="1">
      <c r="A20" s="25"/>
      <c r="B20" s="36"/>
      <c r="C20" s="37"/>
      <c r="D20" s="38"/>
      <c r="E20" s="23"/>
      <c r="F20" s="23"/>
      <c r="G20" s="23"/>
      <c r="H20" s="24"/>
    </row>
    <row r="21" spans="1:8" ht="30" customHeight="1">
      <c r="A21" s="25"/>
      <c r="B21" s="36"/>
      <c r="C21" s="37"/>
      <c r="D21" s="39"/>
      <c r="E21" s="32"/>
      <c r="F21" s="32"/>
      <c r="G21" s="32"/>
      <c r="H21" s="33"/>
    </row>
    <row r="22" spans="1:8" ht="30" customHeight="1">
      <c r="A22" s="40"/>
      <c r="B22" s="41"/>
      <c r="C22" s="42"/>
      <c r="D22" s="39"/>
      <c r="E22" s="32"/>
      <c r="F22" s="32"/>
      <c r="G22" s="32"/>
      <c r="H22" s="33"/>
    </row>
    <row r="23" spans="1:8" ht="30" customHeight="1">
      <c r="A23" s="43" t="s">
        <v>185</v>
      </c>
      <c r="B23" s="44"/>
      <c r="C23" s="45"/>
      <c r="D23" s="45"/>
      <c r="E23" s="45"/>
      <c r="F23" s="45"/>
      <c r="G23" s="45"/>
      <c r="H23" s="45"/>
    </row>
    <row r="24" spans="1:8" ht="30" customHeight="1">
      <c r="A24" s="46"/>
      <c r="B24" s="47"/>
      <c r="C24" s="48"/>
      <c r="D24" s="48"/>
      <c r="E24" s="48"/>
      <c r="F24" s="48"/>
      <c r="G24" s="48"/>
      <c r="H24" s="48"/>
    </row>
    <row r="25" spans="1:8" ht="30" customHeight="1">
      <c r="A25" s="46"/>
      <c r="B25" s="47"/>
      <c r="C25" s="48"/>
      <c r="D25" s="48"/>
      <c r="E25" s="48"/>
      <c r="F25" s="48"/>
      <c r="G25" s="48"/>
      <c r="H25" s="48"/>
    </row>
    <row r="26" spans="1:8" ht="30" customHeight="1">
      <c r="A26" s="46"/>
      <c r="B26" s="47"/>
      <c r="C26" s="48"/>
      <c r="D26" s="48"/>
      <c r="E26" s="48"/>
      <c r="F26" s="48"/>
      <c r="G26" s="48"/>
      <c r="H26" s="48"/>
    </row>
    <row r="27" spans="1:8" ht="30" customHeight="1">
      <c r="A27" s="46"/>
      <c r="B27" s="47"/>
      <c r="C27" s="48"/>
      <c r="D27" s="48"/>
      <c r="E27" s="48"/>
      <c r="F27" s="48"/>
      <c r="G27" s="48"/>
      <c r="H27" s="48"/>
    </row>
  </sheetData>
  <mergeCells count="4">
    <mergeCell ref="A1:H1"/>
    <mergeCell ref="A2:H2"/>
    <mergeCell ref="C3:F3"/>
    <mergeCell ref="G3:H3"/>
  </mergeCells>
  <conditionalFormatting sqref="D5">
    <cfRule type="duplicateValues" dxfId="68" priority="5"/>
  </conditionalFormatting>
  <conditionalFormatting sqref="D6">
    <cfRule type="duplicateValues" dxfId="67" priority="40"/>
  </conditionalFormatting>
  <conditionalFormatting sqref="D7">
    <cfRule type="duplicateValues" dxfId="66" priority="34"/>
  </conditionalFormatting>
  <conditionalFormatting sqref="D8 D13:D15">
    <cfRule type="duplicateValues" dxfId="65" priority="52"/>
    <cfRule type="duplicateValues" dxfId="64" priority="57"/>
  </conditionalFormatting>
  <conditionalFormatting sqref="D9:D10">
    <cfRule type="duplicateValues" dxfId="63" priority="48"/>
  </conditionalFormatting>
  <conditionalFormatting sqref="D11">
    <cfRule type="duplicateValues" dxfId="62" priority="30"/>
  </conditionalFormatting>
  <conditionalFormatting sqref="D12">
    <cfRule type="duplicateValues" dxfId="61" priority="10"/>
  </conditionalFormatting>
  <conditionalFormatting sqref="D13">
    <cfRule type="duplicateValues" dxfId="60" priority="18"/>
  </conditionalFormatting>
  <conditionalFormatting sqref="D15">
    <cfRule type="duplicateValues" dxfId="59" priority="43"/>
  </conditionalFormatting>
  <conditionalFormatting sqref="D16">
    <cfRule type="duplicateValues" dxfId="58" priority="36"/>
  </conditionalFormatting>
  <conditionalFormatting sqref="D17">
    <cfRule type="duplicateValues" dxfId="57" priority="4"/>
  </conditionalFormatting>
  <conditionalFormatting sqref="D18">
    <cfRule type="duplicateValues" dxfId="56" priority="17"/>
  </conditionalFormatting>
  <conditionalFormatting sqref="D19:D22">
    <cfRule type="duplicateValues" dxfId="55" priority="147"/>
  </conditionalFormatting>
  <conditionalFormatting sqref="D19:D1048576 D1:D2 D4">
    <cfRule type="duplicateValues" dxfId="54" priority="152"/>
  </conditionalFormatting>
  <conditionalFormatting sqref="D20:D21">
    <cfRule type="duplicateValues" dxfId="53" priority="112"/>
  </conditionalFormatting>
  <conditionalFormatting sqref="D22">
    <cfRule type="duplicateValues" dxfId="52" priority="93"/>
  </conditionalFormatting>
  <conditionalFormatting sqref="E5">
    <cfRule type="duplicateValues" dxfId="51" priority="9"/>
  </conditionalFormatting>
  <conditionalFormatting sqref="E6">
    <cfRule type="duplicateValues" dxfId="50" priority="39"/>
  </conditionalFormatting>
  <conditionalFormatting sqref="E7">
    <cfRule type="duplicateValues" dxfId="49" priority="33"/>
  </conditionalFormatting>
  <conditionalFormatting sqref="E8 E13:E15">
    <cfRule type="duplicateValues" dxfId="48" priority="56"/>
  </conditionalFormatting>
  <conditionalFormatting sqref="E9:E10">
    <cfRule type="duplicateValues" dxfId="47" priority="51"/>
  </conditionalFormatting>
  <conditionalFormatting sqref="E11">
    <cfRule type="duplicateValues" dxfId="46" priority="29"/>
  </conditionalFormatting>
  <conditionalFormatting sqref="E12">
    <cfRule type="duplicateValues" dxfId="45" priority="11"/>
  </conditionalFormatting>
  <conditionalFormatting sqref="E13">
    <cfRule type="duplicateValues" dxfId="44" priority="22"/>
  </conditionalFormatting>
  <conditionalFormatting sqref="E15">
    <cfRule type="duplicateValues" dxfId="43" priority="47"/>
  </conditionalFormatting>
  <conditionalFormatting sqref="E16">
    <cfRule type="duplicateValues" dxfId="42" priority="25"/>
  </conditionalFormatting>
  <conditionalFormatting sqref="E17">
    <cfRule type="duplicateValues" dxfId="41" priority="3"/>
  </conditionalFormatting>
  <conditionalFormatting sqref="E18">
    <cfRule type="duplicateValues" dxfId="40" priority="16"/>
  </conditionalFormatting>
  <conditionalFormatting sqref="E19:E1048576 E1:E2 E4">
    <cfRule type="duplicateValues" dxfId="39" priority="151"/>
  </conditionalFormatting>
  <conditionalFormatting sqref="E20:E21">
    <cfRule type="duplicateValues" dxfId="38" priority="111"/>
  </conditionalFormatting>
  <conditionalFormatting sqref="E22">
    <cfRule type="duplicateValues" dxfId="37" priority="95"/>
  </conditionalFormatting>
  <conditionalFormatting sqref="F5">
    <cfRule type="duplicateValues" dxfId="36" priority="8"/>
  </conditionalFormatting>
  <conditionalFormatting sqref="F6">
    <cfRule type="duplicateValues" dxfId="35" priority="38"/>
  </conditionalFormatting>
  <conditionalFormatting sqref="F7">
    <cfRule type="duplicateValues" dxfId="34" priority="32"/>
  </conditionalFormatting>
  <conditionalFormatting sqref="F8 F13:F15">
    <cfRule type="duplicateValues" dxfId="33" priority="55"/>
  </conditionalFormatting>
  <conditionalFormatting sqref="F9:F10">
    <cfRule type="duplicateValues" dxfId="32" priority="50"/>
  </conditionalFormatting>
  <conditionalFormatting sqref="F11">
    <cfRule type="duplicateValues" dxfId="31" priority="28"/>
  </conditionalFormatting>
  <conditionalFormatting sqref="F12">
    <cfRule type="duplicateValues" dxfId="30" priority="12"/>
  </conditionalFormatting>
  <conditionalFormatting sqref="F13">
    <cfRule type="duplicateValues" dxfId="29" priority="21"/>
  </conditionalFormatting>
  <conditionalFormatting sqref="F15">
    <cfRule type="duplicateValues" dxfId="28" priority="46"/>
  </conditionalFormatting>
  <conditionalFormatting sqref="F16">
    <cfRule type="duplicateValues" dxfId="27" priority="24"/>
  </conditionalFormatting>
  <conditionalFormatting sqref="F17">
    <cfRule type="duplicateValues" dxfId="26" priority="2"/>
  </conditionalFormatting>
  <conditionalFormatting sqref="F18">
    <cfRule type="duplicateValues" dxfId="25" priority="15"/>
  </conditionalFormatting>
  <conditionalFormatting sqref="F19:F1048576 F1:F2 F4">
    <cfRule type="duplicateValues" dxfId="24" priority="150"/>
  </conditionalFormatting>
  <conditionalFormatting sqref="F20:F21">
    <cfRule type="duplicateValues" dxfId="23" priority="110"/>
  </conditionalFormatting>
  <conditionalFormatting sqref="F22">
    <cfRule type="duplicateValues" dxfId="22" priority="94"/>
  </conditionalFormatting>
  <conditionalFormatting sqref="G5">
    <cfRule type="duplicateValues" dxfId="21" priority="7"/>
  </conditionalFormatting>
  <conditionalFormatting sqref="G6">
    <cfRule type="duplicateValues" dxfId="20" priority="37"/>
  </conditionalFormatting>
  <conditionalFormatting sqref="G7">
    <cfRule type="duplicateValues" dxfId="19" priority="31"/>
  </conditionalFormatting>
  <conditionalFormatting sqref="G8 G13:G15">
    <cfRule type="duplicateValues" dxfId="18" priority="54"/>
  </conditionalFormatting>
  <conditionalFormatting sqref="G9:G10">
    <cfRule type="duplicateValues" dxfId="17" priority="49"/>
  </conditionalFormatting>
  <conditionalFormatting sqref="G11">
    <cfRule type="duplicateValues" dxfId="16" priority="27"/>
  </conditionalFormatting>
  <conditionalFormatting sqref="G12">
    <cfRule type="duplicateValues" dxfId="15" priority="42"/>
  </conditionalFormatting>
  <conditionalFormatting sqref="G13">
    <cfRule type="duplicateValues" dxfId="14" priority="20"/>
  </conditionalFormatting>
  <conditionalFormatting sqref="G15">
    <cfRule type="duplicateValues" dxfId="13" priority="45"/>
  </conditionalFormatting>
  <conditionalFormatting sqref="G16">
    <cfRule type="duplicateValues" dxfId="12" priority="35"/>
  </conditionalFormatting>
  <conditionalFormatting sqref="G17">
    <cfRule type="duplicateValues" dxfId="11" priority="1"/>
  </conditionalFormatting>
  <conditionalFormatting sqref="G18">
    <cfRule type="duplicateValues" dxfId="10" priority="14"/>
  </conditionalFormatting>
  <conditionalFormatting sqref="G19:G1048576 G1:G4">
    <cfRule type="duplicateValues" dxfId="9" priority="149"/>
  </conditionalFormatting>
  <conditionalFormatting sqref="H5">
    <cfRule type="duplicateValues" dxfId="8" priority="6"/>
  </conditionalFormatting>
  <conditionalFormatting sqref="H11">
    <cfRule type="duplicateValues" dxfId="7" priority="26"/>
  </conditionalFormatting>
  <conditionalFormatting sqref="H12">
    <cfRule type="duplicateValues" dxfId="6" priority="41"/>
  </conditionalFormatting>
  <conditionalFormatting sqref="H13">
    <cfRule type="duplicateValues" dxfId="5" priority="19"/>
  </conditionalFormatting>
  <conditionalFormatting sqref="H13:H17 H6:H10">
    <cfRule type="duplicateValues" dxfId="4" priority="53"/>
  </conditionalFormatting>
  <conditionalFormatting sqref="H15">
    <cfRule type="duplicateValues" dxfId="3" priority="44"/>
  </conditionalFormatting>
  <conditionalFormatting sqref="H16">
    <cfRule type="duplicateValues" dxfId="2" priority="23"/>
  </conditionalFormatting>
  <conditionalFormatting sqref="H18">
    <cfRule type="duplicateValues" dxfId="1" priority="13"/>
  </conditionalFormatting>
  <conditionalFormatting sqref="H19:H1048576 H1:H2 H4">
    <cfRule type="duplicateValues" dxfId="0" priority="148"/>
  </conditionalFormatting>
  <printOptions horizontalCentered="1" verticalCentered="1"/>
  <pageMargins left="0.25" right="0.25" top="0.75" bottom="0.75" header="0.3" footer="0.3"/>
  <pageSetup scale="8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6:G54"/>
  <sheetViews>
    <sheetView workbookViewId="0">
      <selection activeCell="K8" sqref="K8"/>
    </sheetView>
  </sheetViews>
  <sheetFormatPr baseColWidth="10" defaultColWidth="9.140625" defaultRowHeight="15"/>
  <cols>
    <col min="1" max="4" width="9.140625" style="1"/>
    <col min="5" max="7" width="12.85546875" style="1"/>
    <col min="8" max="16384" width="9.140625" style="1"/>
  </cols>
  <sheetData>
    <row r="6" spans="6:7">
      <c r="F6" s="2"/>
    </row>
    <row r="11" spans="6:7">
      <c r="G11" s="3"/>
    </row>
    <row r="54" spans="7:7">
      <c r="G5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bitacora nocturno</vt:lpstr>
      <vt:lpstr>concentrado nocturno</vt:lpstr>
      <vt:lpstr>FECHAS</vt:lpstr>
      <vt:lpstr>bitacora SABADO</vt:lpstr>
      <vt:lpstr>Hoja5</vt:lpstr>
      <vt:lpstr>'bitacora nocturno'!Área_de_impresión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Pasillo2</dc:creator>
  <cp:lastModifiedBy>lbarrosog@universidaddeleon.edu.mx</cp:lastModifiedBy>
  <cp:lastPrinted>2026-03-04T19:21:36Z</cp:lastPrinted>
  <dcterms:created xsi:type="dcterms:W3CDTF">2024-03-15T14:35:00Z</dcterms:created>
  <dcterms:modified xsi:type="dcterms:W3CDTF">2026-03-05T01:05:11Z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F53757221122469C90096276F4930BC6_13</vt:lpwstr>
  </property>
  <property fmtid="{D5CDD505-2E9C-101B-9397-08002B2CF9AE}" pid="3" name="KSOProductBuildVer">
    <vt:lpwstr>2058-12.2.0.23196</vt:lpwstr>
  </property>
</Properties>
</file>